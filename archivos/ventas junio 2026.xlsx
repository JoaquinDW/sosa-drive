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rco\Desktop\IMPORTANTE\ventas\"/>
    </mc:Choice>
  </mc:AlternateContent>
  <xr:revisionPtr revIDLastSave="0" documentId="13_ncr:1_{59BA1384-384D-487E-94F8-932BC756825E}" xr6:coauthVersionLast="47" xr6:coauthVersionMax="47" xr10:uidLastSave="{00000000-0000-0000-0000-000000000000}"/>
  <bookViews>
    <workbookView xWindow="-120" yWindow="-120" windowWidth="29040" windowHeight="15720" xr2:uid="{F0093DFD-3F97-45E4-808F-20E2173E5BDE}"/>
  </bookViews>
  <sheets>
    <sheet name="Hoja1" sheetId="1" r:id="rId1"/>
    <sheet name="Hoja3" sheetId="7" r:id="rId2"/>
    <sheet name="Hoja4" sheetId="4" r:id="rId3"/>
    <sheet name="Hoja5" sheetId="5" r:id="rId4"/>
    <sheet name="Hoja2" sheetId="6" r:id="rId5"/>
    <sheet name="Hoja6" sheetId="8" r:id="rId6"/>
    <sheet name="Hoja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8" i="9" l="1"/>
  <c r="F48" i="9"/>
  <c r="E48" i="9"/>
  <c r="D48" i="9"/>
  <c r="H48" i="8"/>
  <c r="F48" i="8"/>
  <c r="E48" i="8"/>
  <c r="D48" i="8"/>
  <c r="R48" i="1"/>
  <c r="T48" i="1"/>
  <c r="B88" i="1"/>
  <c r="D32" i="1"/>
  <c r="C32" i="1"/>
  <c r="P48" i="1"/>
  <c r="Q48" i="1"/>
  <c r="C25" i="5"/>
  <c r="G28" i="1"/>
  <c r="K31" i="1"/>
  <c r="J21" i="4"/>
  <c r="D21" i="4"/>
  <c r="H28" i="1"/>
  <c r="L31" i="1"/>
</calcChain>
</file>

<file path=xl/sharedStrings.xml><?xml version="1.0" encoding="utf-8"?>
<sst xmlns="http://schemas.openxmlformats.org/spreadsheetml/2006/main" count="856" uniqueCount="184">
  <si>
    <t>N°</t>
  </si>
  <si>
    <t>MOTOS 110 EN STOCK</t>
  </si>
  <si>
    <t>PRECIO</t>
  </si>
  <si>
    <t>COSTO</t>
  </si>
  <si>
    <t xml:space="preserve">TOTAL </t>
  </si>
  <si>
    <t>ganacia contado</t>
  </si>
  <si>
    <t>ganacia FINANCIADO</t>
  </si>
  <si>
    <t>MOTOS 125 A 300 EN STOCK</t>
  </si>
  <si>
    <t>YAMAHA XTZ 250 2024</t>
  </si>
  <si>
    <t>YAMAHA YBR 2023 BLANCA</t>
  </si>
  <si>
    <t>ZANELLA RZ 250 2014</t>
  </si>
  <si>
    <t xml:space="preserve">HONDA GLH 2021 roja </t>
  </si>
  <si>
    <t>DAX 2019</t>
  </si>
  <si>
    <t>metodo</t>
  </si>
  <si>
    <t>HONDA TWISTER 300 2025</t>
  </si>
  <si>
    <t>YAMAHA YBR 2022 NEGRA</t>
  </si>
  <si>
    <t>zanella rx 2025</t>
  </si>
  <si>
    <t>HONDA Twister 250 2018 blanca</t>
  </si>
  <si>
    <t>HONDA Twister 250 2014 roja</t>
  </si>
  <si>
    <t>PAGO</t>
  </si>
  <si>
    <t>YAMAHA XTZ 125 2023 blanca</t>
  </si>
  <si>
    <t>HONDA XR 150 NEGRA 2022</t>
  </si>
  <si>
    <t>VENDEDOR</t>
  </si>
  <si>
    <t>CONFIR</t>
  </si>
  <si>
    <t>MOTOMEL DAX 110 2024</t>
  </si>
  <si>
    <t>YAMAHA FZ 2019 AZUL</t>
  </si>
  <si>
    <t>YAMAHA FZ 2022 ROJA</t>
  </si>
  <si>
    <t>MOTOMEL S2 2025 roja</t>
  </si>
  <si>
    <t>SANTANDER</t>
  </si>
  <si>
    <t>HONDA Twister 125 2023 negra</t>
  </si>
  <si>
    <t>METODO</t>
  </si>
  <si>
    <t>Rouser p150 negra</t>
  </si>
  <si>
    <t xml:space="preserve">ZANELLA ZB z3 2025 sport </t>
  </si>
  <si>
    <t>HONDA XR 150 NEGRA 2017</t>
  </si>
  <si>
    <t>Corven 2024 azul</t>
  </si>
  <si>
    <t>HONDA XR 190 2024 negra</t>
  </si>
  <si>
    <t>Honda wave 2023 negra</t>
  </si>
  <si>
    <t>ZB 2023 FULL ROJA</t>
  </si>
  <si>
    <t>Honda wave 2025 roja</t>
  </si>
  <si>
    <t>Rouser ns200 2022 azul</t>
  </si>
  <si>
    <t xml:space="preserve">HONDA GLH 2026 ROJA </t>
  </si>
  <si>
    <t>HONDA XR 150 ROJA 2020</t>
  </si>
  <si>
    <t>Honda navi 2025 ROJA</t>
  </si>
  <si>
    <t>Honda wave 2022 full blanca</t>
  </si>
  <si>
    <t>HONDA TORNADO 2018</t>
  </si>
  <si>
    <t>SKUA 2025</t>
  </si>
  <si>
    <t>ZB 2025 gris tuning</t>
  </si>
  <si>
    <t>FECHA</t>
  </si>
  <si>
    <t>HONDA TORNADO 2025 300</t>
  </si>
  <si>
    <t xml:space="preserve">KELLER 0KM </t>
  </si>
  <si>
    <t>HONDA TWISTER 250 2012</t>
  </si>
  <si>
    <t xml:space="preserve">ZB 2025 gris full </t>
  </si>
  <si>
    <t>ZANELLA ZB z3 2025 azul base</t>
  </si>
  <si>
    <t>CORVEN TRIAX 150 2023</t>
  </si>
  <si>
    <t>Sian q110 2026</t>
  </si>
  <si>
    <t>Gilera 2025 full roja negra</t>
  </si>
  <si>
    <t>Honda wave 2022 negra</t>
  </si>
  <si>
    <t>Factura compra datos</t>
  </si>
  <si>
    <t>Factura venta datos</t>
  </si>
  <si>
    <t xml:space="preserve">PAGO </t>
  </si>
  <si>
    <t>VENTAS SEMANA 1 (ABRIL)</t>
  </si>
  <si>
    <t>NOMBRE FINANCIERA</t>
  </si>
  <si>
    <t>PRECIO VENTA</t>
  </si>
  <si>
    <t>IVA A PAGAR</t>
  </si>
  <si>
    <t>ZB 2026 BLANCA FULL</t>
  </si>
  <si>
    <t>ZB 2025 BLANCA BASE</t>
  </si>
  <si>
    <t>NEW TITAN 2017</t>
  </si>
  <si>
    <t>ROUSER 160 2023 ROJA</t>
  </si>
  <si>
    <t>ZB 2025 gris full TUNING</t>
  </si>
  <si>
    <t>ROUSER 160 2021 ROJA</t>
  </si>
  <si>
    <t>deuda</t>
  </si>
  <si>
    <t xml:space="preserve">TRANS A LUCAS </t>
  </si>
  <si>
    <t xml:space="preserve">nombre </t>
  </si>
  <si>
    <t xml:space="preserve">Motos compradas </t>
  </si>
  <si>
    <t xml:space="preserve">pagado </t>
  </si>
  <si>
    <t>Rouser p150 negra 2025</t>
  </si>
  <si>
    <t>ZB z3 2026 BLANCA FULL</t>
  </si>
  <si>
    <t>ZB z3 2025 BLANCA BASE</t>
  </si>
  <si>
    <t>ZB z3 2025 azul base</t>
  </si>
  <si>
    <t xml:space="preserve">ZB z3 2025 gris full </t>
  </si>
  <si>
    <t>miguel</t>
  </si>
  <si>
    <t>HONDA GLH 2025 gris</t>
  </si>
  <si>
    <t>CREDITO CASA</t>
  </si>
  <si>
    <t xml:space="preserve">IKA 2026 GRIS </t>
  </si>
  <si>
    <t>Honda wave 2025 BLANCA</t>
  </si>
  <si>
    <t>MOTOS 0km</t>
  </si>
  <si>
    <t>IKA BASE 0KM</t>
  </si>
  <si>
    <t>IKA FULL 0KM</t>
  </si>
  <si>
    <t xml:space="preserve">Honda biz 2016 blanca </t>
  </si>
  <si>
    <t>B110 BLACK EDITION CBS</t>
  </si>
  <si>
    <t>CX150 ARENA</t>
  </si>
  <si>
    <t>B110 ONE GRIS</t>
  </si>
  <si>
    <t>B110 ONE CELESTE</t>
  </si>
  <si>
    <t>B110 ONE FULL CELESTE</t>
  </si>
  <si>
    <t>B110 ONE FULL ROJO</t>
  </si>
  <si>
    <t>B110 ONE FULL GRIS</t>
  </si>
  <si>
    <t>B110 PLUS ROJO CBS</t>
  </si>
  <si>
    <t>B110 PLUS NEGRO CBS</t>
  </si>
  <si>
    <t>B110 V8 II AUTOM AZUL CBS</t>
  </si>
  <si>
    <t>B110 TUNING II ROJO CBS</t>
  </si>
  <si>
    <t>C110 DLX NEGRO CBS</t>
  </si>
  <si>
    <t>S2 BASE NEGRO CBS</t>
  </si>
  <si>
    <t>S2 FULL ALEACIÓN ROJO CBS</t>
  </si>
  <si>
    <t>Honda wave 2026 negra full</t>
  </si>
  <si>
    <t>ROUSER 160 2024 gris negra</t>
  </si>
  <si>
    <t>Gilera smash 2025 base</t>
  </si>
  <si>
    <t>Gilera 110 full 2025</t>
  </si>
  <si>
    <t xml:space="preserve">YAMAHA YBR 2014 AZUL </t>
  </si>
  <si>
    <t>GILERA 150 CROSS</t>
  </si>
  <si>
    <t xml:space="preserve">sin stok </t>
  </si>
  <si>
    <t xml:space="preserve">HONDA navi 2025 blanca </t>
  </si>
  <si>
    <t xml:space="preserve">HONDA navi 2025 roja </t>
  </si>
  <si>
    <t xml:space="preserve">YAMAHA XTZ 125 2024 AZUL </t>
  </si>
  <si>
    <t>Keller 110 roja full 2025</t>
  </si>
  <si>
    <t>ZANELLA rx 150 2023 AZUL</t>
  </si>
  <si>
    <t>ZB 2015 blanca</t>
  </si>
  <si>
    <t>VENTAS JUNIO</t>
  </si>
  <si>
    <t>CONTADO</t>
  </si>
  <si>
    <t xml:space="preserve">ALEXIS </t>
  </si>
  <si>
    <t>PUBLICIDAD</t>
  </si>
  <si>
    <t>EZE</t>
  </si>
  <si>
    <t xml:space="preserve">marketplace </t>
  </si>
  <si>
    <t>cliente propio</t>
  </si>
  <si>
    <t xml:space="preserve">DIRECTO </t>
  </si>
  <si>
    <t xml:space="preserve">YAMAHA FZ 2023 ROJA </t>
  </si>
  <si>
    <t xml:space="preserve">pago </t>
  </si>
  <si>
    <t>MIGUEL</t>
  </si>
  <si>
    <t>HONDA XR 150 2016</t>
  </si>
  <si>
    <t>INSTAGRAM</t>
  </si>
  <si>
    <t xml:space="preserve">CREDITO ARG </t>
  </si>
  <si>
    <t>HONDA TWISTER 2025 NEGRA</t>
  </si>
  <si>
    <t>HONDA NEW TITAN 2021 NEGRA</t>
  </si>
  <si>
    <t xml:space="preserve">HONDA TWISTER 2024 gris </t>
  </si>
  <si>
    <t>HONDA CG TITAN 2013</t>
  </si>
  <si>
    <t>PUBLICIDAD BARATA</t>
  </si>
  <si>
    <t>KELLER 110 2026 OKM NARDO</t>
  </si>
  <si>
    <t>KELLER 110 2026 OKM FULL</t>
  </si>
  <si>
    <t>KELLER 110 2026 OKM  FULL</t>
  </si>
  <si>
    <t xml:space="preserve">GILERA 110 FULL 2026 0KM </t>
  </si>
  <si>
    <t xml:space="preserve">KELLER 150 2026 0KM </t>
  </si>
  <si>
    <t>CORVEN 110 2024</t>
  </si>
  <si>
    <t>new titan pagado</t>
  </si>
  <si>
    <t>wave 2020 pagado</t>
  </si>
  <si>
    <t>TWISTER 2024 pagado</t>
  </si>
  <si>
    <t>HONDA WAVE 2023 BLANCA</t>
  </si>
  <si>
    <t xml:space="preserve">HONDA WAVE 2023 negra </t>
  </si>
  <si>
    <t>HONDA WAVE 2022 roja</t>
  </si>
  <si>
    <t>MOTOMEL blitz 2024 Roja</t>
  </si>
  <si>
    <t xml:space="preserve">Corven 110 2019 </t>
  </si>
  <si>
    <r>
      <t xml:space="preserve">ZB 2023 full </t>
    </r>
    <r>
      <rPr>
        <b/>
        <sz val="10"/>
        <color rgb="FFC00000"/>
        <rFont val="Arial Black"/>
        <family val="2"/>
      </rPr>
      <t>emi</t>
    </r>
  </si>
  <si>
    <r>
      <t xml:space="preserve">ZB z3 2025  BASE </t>
    </r>
    <r>
      <rPr>
        <b/>
        <sz val="10"/>
        <color rgb="FFC00000"/>
        <rFont val="Arial Black"/>
        <family val="2"/>
      </rPr>
      <t>viki</t>
    </r>
  </si>
  <si>
    <t xml:space="preserve">B110 ONE FULL </t>
  </si>
  <si>
    <t xml:space="preserve">S2 FULL ALEACIÓN </t>
  </si>
  <si>
    <t xml:space="preserve">B110 TUNING II </t>
  </si>
  <si>
    <t xml:space="preserve">B110 V8 II AUTOM </t>
  </si>
  <si>
    <t xml:space="preserve">B110 PLUS NEGRO </t>
  </si>
  <si>
    <t>KELLER 110 2026 OKM  gris</t>
  </si>
  <si>
    <t>KELLER 110 2026 OKM FULL dig</t>
  </si>
  <si>
    <t xml:space="preserve">B110 ONE </t>
  </si>
  <si>
    <t xml:space="preserve">S2 FULL </t>
  </si>
  <si>
    <t xml:space="preserve">B110 V8 II </t>
  </si>
  <si>
    <t xml:space="preserve">B110 PLUS </t>
  </si>
  <si>
    <t xml:space="preserve">B110 BLACK </t>
  </si>
  <si>
    <t xml:space="preserve">B110 PLUS ROJO </t>
  </si>
  <si>
    <t xml:space="preserve">S2 BASE NEGRO </t>
  </si>
  <si>
    <t>LUCAS DEBE $180.000</t>
  </si>
  <si>
    <t xml:space="preserve">HONDA GLH 2024  ROJA </t>
  </si>
  <si>
    <t>YAMAHA FZ 2021 NEGRA</t>
  </si>
  <si>
    <t>HONDA WAVE 2019 NEGRA</t>
  </si>
  <si>
    <t>CORVEN 2026 110 NEGRA</t>
  </si>
  <si>
    <t>GUERRERO 150 NEGRA 2024</t>
  </si>
  <si>
    <t xml:space="preserve"> PAGO CORVEN 110 ALEX</t>
  </si>
  <si>
    <t>ZB 2026 AZUL base</t>
  </si>
  <si>
    <t>devoluicon web</t>
  </si>
  <si>
    <t xml:space="preserve"> SEÑA WAVE EZE 2019</t>
  </si>
  <si>
    <t>cobro agustina 24</t>
  </si>
  <si>
    <t xml:space="preserve">compra ns </t>
  </si>
  <si>
    <t>pago ybr sorteador</t>
  </si>
  <si>
    <t xml:space="preserve">redondeo salta pago </t>
  </si>
  <si>
    <t xml:space="preserve"> SEÑA WAVE  alexis 2019</t>
  </si>
  <si>
    <t xml:space="preserve"> ENTREGA WAVE EZE 2019</t>
  </si>
  <si>
    <t xml:space="preserve"> XTZ 250 MIGUEL</t>
  </si>
  <si>
    <t>ZB z3 2025  BASE viki</t>
  </si>
  <si>
    <t>ZB 2023 full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</si>
</sst>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4"/>
      <color rgb="FFC00000"/>
      <name val="Arial Black"/>
      <family val="2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 Black"/>
      <family val="2"/>
    </font>
    <font>
      <sz val="14"/>
      <color rgb="FFC00000"/>
      <name val="Arial Black"/>
      <family val="2"/>
    </font>
    <font>
      <b/>
      <sz val="11"/>
      <color theme="1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name val="Arial Black"/>
      <family val="2"/>
    </font>
    <font>
      <sz val="11"/>
      <color theme="1"/>
      <name val="Arial Black"/>
      <family val="2"/>
    </font>
    <font>
      <sz val="1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  <font>
      <b/>
      <sz val="12"/>
      <color theme="1"/>
      <name val="Calibri "/>
    </font>
    <font>
      <sz val="14"/>
      <color rgb="FF00B050"/>
      <name val="Arial Black"/>
      <family val="2"/>
    </font>
    <font>
      <b/>
      <sz val="12"/>
      <color rgb="FF00B050"/>
      <name val="Calibri "/>
    </font>
    <font>
      <b/>
      <sz val="12"/>
      <color rgb="FFC00000"/>
      <name val="Calibri "/>
    </font>
    <font>
      <sz val="14"/>
      <color rgb="FFC00000"/>
      <name val="Calibri"/>
      <family val="2"/>
      <scheme val="minor"/>
    </font>
    <font>
      <b/>
      <i/>
      <u/>
      <sz val="10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name val="Arial Black"/>
      <family val="2"/>
    </font>
    <font>
      <sz val="10"/>
      <color theme="1"/>
      <name val="Arial Black"/>
      <family val="2"/>
    </font>
    <font>
      <b/>
      <sz val="10"/>
      <color rgb="FFC00000"/>
      <name val="Arial Black"/>
      <family val="2"/>
    </font>
    <font>
      <sz val="10"/>
      <color rgb="FF00B050"/>
      <name val="Arial Black"/>
      <family val="2"/>
    </font>
    <font>
      <sz val="10"/>
      <color rgb="FFC00000"/>
      <name val="Arial Black"/>
      <family val="2"/>
    </font>
    <font>
      <sz val="14"/>
      <name val="Arial Black"/>
      <family val="2"/>
    </font>
    <font>
      <b/>
      <sz val="12"/>
      <name val="Calibri 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7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3" borderId="2" xfId="0" applyFont="1" applyFill="1" applyBorder="1" applyAlignment="1">
      <alignment horizontal="center"/>
    </xf>
    <xf numFmtId="0" fontId="4" fillId="5" borderId="7" xfId="0" applyFont="1" applyFill="1" applyBorder="1"/>
    <xf numFmtId="0" fontId="6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4" fillId="0" borderId="7" xfId="1" applyNumberFormat="1" applyFont="1" applyBorder="1" applyAlignment="1">
      <alignment horizontal="right"/>
    </xf>
    <xf numFmtId="0" fontId="4" fillId="0" borderId="10" xfId="0" applyFont="1" applyBorder="1"/>
    <xf numFmtId="164" fontId="4" fillId="0" borderId="9" xfId="1" applyNumberFormat="1" applyFont="1" applyBorder="1" applyAlignment="1">
      <alignment horizontal="right"/>
    </xf>
    <xf numFmtId="0" fontId="3" fillId="0" borderId="0" xfId="0" applyFont="1"/>
    <xf numFmtId="164" fontId="10" fillId="3" borderId="4" xfId="0" applyNumberFormat="1" applyFont="1" applyFill="1" applyBorder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7" fillId="0" borderId="6" xfId="0" applyFont="1" applyBorder="1"/>
    <xf numFmtId="164" fontId="7" fillId="0" borderId="7" xfId="1" applyNumberFormat="1" applyFont="1" applyBorder="1" applyAlignment="1">
      <alignment horizontal="right"/>
    </xf>
    <xf numFmtId="0" fontId="8" fillId="6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6" xfId="0" applyFont="1" applyBorder="1"/>
    <xf numFmtId="164" fontId="10" fillId="3" borderId="7" xfId="0" applyNumberFormat="1" applyFont="1" applyFill="1" applyBorder="1" applyAlignment="1">
      <alignment horizontal="center"/>
    </xf>
    <xf numFmtId="0" fontId="0" fillId="0" borderId="0" xfId="0" applyBorder="1"/>
    <xf numFmtId="164" fontId="10" fillId="0" borderId="0" xfId="0" applyNumberFormat="1" applyFont="1" applyBorder="1"/>
    <xf numFmtId="44" fontId="8" fillId="2" borderId="12" xfId="2" applyNumberFormat="1" applyFont="1" applyBorder="1"/>
    <xf numFmtId="164" fontId="12" fillId="2" borderId="12" xfId="2" applyNumberFormat="1" applyFont="1" applyBorder="1" applyAlignment="1">
      <alignment horizontal="left"/>
    </xf>
    <xf numFmtId="0" fontId="3" fillId="0" borderId="0" xfId="0" applyFont="1" applyBorder="1"/>
    <xf numFmtId="164" fontId="10" fillId="0" borderId="0" xfId="0" applyNumberFormat="1" applyFont="1" applyBorder="1" applyAlignment="1">
      <alignment horizontal="center"/>
    </xf>
    <xf numFmtId="44" fontId="9" fillId="2" borderId="13" xfId="2" applyNumberFormat="1" applyFont="1" applyBorder="1" applyAlignment="1">
      <alignment horizontal="left"/>
    </xf>
    <xf numFmtId="0" fontId="6" fillId="0" borderId="0" xfId="0" applyFont="1" applyBorder="1"/>
    <xf numFmtId="44" fontId="6" fillId="0" borderId="0" xfId="1" applyFont="1" applyBorder="1" applyAlignment="1">
      <alignment horizontal="right"/>
    </xf>
    <xf numFmtId="44" fontId="8" fillId="2" borderId="14" xfId="2" applyNumberFormat="1" applyFont="1" applyBorder="1"/>
    <xf numFmtId="164" fontId="11" fillId="0" borderId="7" xfId="1" applyNumberFormat="1" applyFont="1" applyBorder="1" applyAlignment="1">
      <alignment horizontal="center" vertical="center"/>
    </xf>
    <xf numFmtId="164" fontId="15" fillId="0" borderId="7" xfId="1" applyNumberFormat="1" applyFont="1" applyBorder="1" applyAlignment="1">
      <alignment horizontal="right"/>
    </xf>
    <xf numFmtId="164" fontId="7" fillId="4" borderId="7" xfId="3" applyNumberFormat="1" applyFont="1" applyFill="1" applyBorder="1" applyAlignment="1">
      <alignment horizontal="center"/>
    </xf>
    <xf numFmtId="0" fontId="7" fillId="0" borderId="7" xfId="0" applyFont="1" applyBorder="1"/>
    <xf numFmtId="0" fontId="3" fillId="0" borderId="16" xfId="0" applyFont="1" applyBorder="1" applyAlignment="1">
      <alignment horizontal="left"/>
    </xf>
    <xf numFmtId="0" fontId="15" fillId="0" borderId="7" xfId="0" applyFont="1" applyBorder="1"/>
    <xf numFmtId="0" fontId="4" fillId="0" borderId="7" xfId="0" applyFont="1" applyBorder="1"/>
    <xf numFmtId="164" fontId="5" fillId="5" borderId="7" xfId="3" applyNumberFormat="1" applyFont="1" applyFill="1" applyBorder="1"/>
    <xf numFmtId="0" fontId="15" fillId="5" borderId="7" xfId="0" applyFont="1" applyFill="1" applyBorder="1"/>
    <xf numFmtId="0" fontId="7" fillId="4" borderId="7" xfId="0" applyFont="1" applyFill="1" applyBorder="1"/>
    <xf numFmtId="0" fontId="7" fillId="5" borderId="7" xfId="0" applyFont="1" applyFill="1" applyBorder="1"/>
    <xf numFmtId="165" fontId="12" fillId="2" borderId="13" xfId="2" applyNumberFormat="1" applyFont="1" applyBorder="1" applyAlignment="1"/>
    <xf numFmtId="165" fontId="10" fillId="0" borderId="0" xfId="0" applyNumberFormat="1" applyFont="1" applyBorder="1" applyAlignment="1"/>
    <xf numFmtId="0" fontId="17" fillId="4" borderId="0" xfId="0" applyFont="1" applyFill="1" applyAlignment="1">
      <alignment horizontal="center"/>
    </xf>
    <xf numFmtId="164" fontId="12" fillId="2" borderId="12" xfId="2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64" fontId="16" fillId="5" borderId="7" xfId="3" applyNumberFormat="1" applyFont="1" applyFill="1" applyBorder="1"/>
    <xf numFmtId="0" fontId="17" fillId="4" borderId="0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3" fillId="0" borderId="7" xfId="0" applyFont="1" applyBorder="1"/>
    <xf numFmtId="164" fontId="10" fillId="0" borderId="7" xfId="0" applyNumberFormat="1" applyFont="1" applyBorder="1" applyAlignment="1">
      <alignment horizontal="center"/>
    </xf>
    <xf numFmtId="6" fontId="17" fillId="7" borderId="7" xfId="0" applyNumberFormat="1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4" fillId="5" borderId="10" xfId="0" applyFont="1" applyFill="1" applyBorder="1"/>
    <xf numFmtId="164" fontId="19" fillId="0" borderId="7" xfId="1" applyNumberFormat="1" applyFont="1" applyBorder="1" applyAlignment="1">
      <alignment horizontal="center" vertical="center"/>
    </xf>
    <xf numFmtId="164" fontId="20" fillId="0" borderId="7" xfId="1" applyNumberFormat="1" applyFont="1" applyBorder="1" applyAlignment="1">
      <alignment horizontal="center" vertical="center"/>
    </xf>
    <xf numFmtId="164" fontId="21" fillId="0" borderId="7" xfId="1" applyNumberFormat="1" applyFont="1" applyBorder="1" applyAlignment="1">
      <alignment horizontal="center" vertical="center"/>
    </xf>
    <xf numFmtId="165" fontId="10" fillId="3" borderId="8" xfId="0" applyNumberFormat="1" applyFont="1" applyFill="1" applyBorder="1" applyAlignment="1"/>
    <xf numFmtId="44" fontId="8" fillId="2" borderId="7" xfId="2" applyNumberFormat="1" applyFont="1" applyBorder="1"/>
    <xf numFmtId="164" fontId="10" fillId="0" borderId="1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23" fillId="0" borderId="6" xfId="0" applyFont="1" applyBorder="1"/>
    <xf numFmtId="164" fontId="23" fillId="0" borderId="7" xfId="1" applyNumberFormat="1" applyFont="1" applyBorder="1" applyAlignment="1">
      <alignment horizontal="right"/>
    </xf>
    <xf numFmtId="0" fontId="0" fillId="0" borderId="16" xfId="0" applyFont="1" applyBorder="1" applyAlignment="1">
      <alignment horizontal="left"/>
    </xf>
    <xf numFmtId="0" fontId="23" fillId="0" borderId="7" xfId="0" applyFont="1" applyBorder="1"/>
    <xf numFmtId="0" fontId="23" fillId="0" borderId="10" xfId="0" applyFont="1" applyBorder="1"/>
    <xf numFmtId="164" fontId="23" fillId="0" borderId="9" xfId="1" applyNumberFormat="1" applyFont="1" applyBorder="1" applyAlignment="1">
      <alignment horizontal="right"/>
    </xf>
    <xf numFmtId="0" fontId="0" fillId="0" borderId="15" xfId="0" applyFont="1" applyBorder="1" applyAlignment="1">
      <alignment horizontal="left"/>
    </xf>
    <xf numFmtId="0" fontId="24" fillId="5" borderId="7" xfId="0" applyFont="1" applyFill="1" applyBorder="1"/>
    <xf numFmtId="164" fontId="25" fillId="5" borderId="7" xfId="3" applyNumberFormat="1" applyFont="1" applyFill="1" applyBorder="1"/>
    <xf numFmtId="0" fontId="23" fillId="5" borderId="10" xfId="0" applyFont="1" applyFill="1" applyBorder="1"/>
    <xf numFmtId="0" fontId="0" fillId="0" borderId="7" xfId="0" applyFont="1" applyBorder="1" applyAlignment="1">
      <alignment horizontal="left"/>
    </xf>
    <xf numFmtId="0" fontId="23" fillId="5" borderId="7" xfId="0" applyFont="1" applyFill="1" applyBorder="1"/>
    <xf numFmtId="164" fontId="24" fillId="0" borderId="7" xfId="1" applyNumberFormat="1" applyFont="1" applyBorder="1" applyAlignment="1">
      <alignment horizontal="right"/>
    </xf>
    <xf numFmtId="0" fontId="0" fillId="0" borderId="7" xfId="0" applyFont="1" applyBorder="1"/>
    <xf numFmtId="44" fontId="2" fillId="2" borderId="14" xfId="2" applyNumberFormat="1" applyFont="1" applyBorder="1"/>
    <xf numFmtId="44" fontId="22" fillId="2" borderId="13" xfId="2" applyNumberFormat="1" applyFont="1" applyBorder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0" fontId="3" fillId="8" borderId="7" xfId="0" applyFont="1" applyFill="1" applyBorder="1"/>
    <xf numFmtId="0" fontId="6" fillId="8" borderId="7" xfId="0" applyFont="1" applyFill="1" applyBorder="1"/>
    <xf numFmtId="164" fontId="11" fillId="8" borderId="7" xfId="0" applyNumberFormat="1" applyFont="1" applyFill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2" fontId="3" fillId="0" borderId="0" xfId="4" applyNumberFormat="1" applyFont="1" applyAlignment="1"/>
    <xf numFmtId="2" fontId="10" fillId="0" borderId="0" xfId="4" applyNumberFormat="1" applyFont="1" applyBorder="1" applyAlignment="1"/>
    <xf numFmtId="2" fontId="10" fillId="0" borderId="0" xfId="4" applyNumberFormat="1" applyFont="1" applyBorder="1"/>
    <xf numFmtId="2" fontId="10" fillId="6" borderId="8" xfId="4" applyNumberFormat="1" applyFont="1" applyFill="1" applyBorder="1" applyAlignment="1"/>
    <xf numFmtId="1" fontId="11" fillId="0" borderId="7" xfId="4" applyNumberFormat="1" applyFont="1" applyBorder="1" applyAlignment="1">
      <alignment horizontal="center"/>
    </xf>
    <xf numFmtId="0" fontId="26" fillId="0" borderId="7" xfId="0" applyFont="1" applyBorder="1"/>
    <xf numFmtId="164" fontId="21" fillId="0" borderId="7" xfId="1" applyNumberFormat="1" applyFont="1" applyBorder="1" applyAlignment="1">
      <alignment horizontal="center"/>
    </xf>
    <xf numFmtId="164" fontId="27" fillId="0" borderId="7" xfId="1" applyNumberFormat="1" applyFont="1" applyBorder="1"/>
    <xf numFmtId="164" fontId="28" fillId="0" borderId="7" xfId="1" applyNumberFormat="1" applyFont="1" applyBorder="1" applyAlignment="1">
      <alignment horizontal="center"/>
    </xf>
    <xf numFmtId="164" fontId="3" fillId="9" borderId="17" xfId="0" applyNumberFormat="1" applyFont="1" applyFill="1" applyBorder="1"/>
    <xf numFmtId="1" fontId="11" fillId="0" borderId="6" xfId="4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center"/>
    </xf>
    <xf numFmtId="6" fontId="17" fillId="4" borderId="7" xfId="0" applyNumberFormat="1" applyFont="1" applyFill="1" applyBorder="1" applyAlignment="1">
      <alignment horizontal="center"/>
    </xf>
    <xf numFmtId="16" fontId="18" fillId="7" borderId="7" xfId="0" applyNumberFormat="1" applyFont="1" applyFill="1" applyBorder="1" applyAlignment="1">
      <alignment horizontal="center"/>
    </xf>
    <xf numFmtId="0" fontId="29" fillId="7" borderId="7" xfId="0" applyFont="1" applyFill="1" applyBorder="1" applyAlignment="1">
      <alignment horizontal="center"/>
    </xf>
    <xf numFmtId="164" fontId="30" fillId="0" borderId="7" xfId="1" applyNumberFormat="1" applyFont="1" applyBorder="1" applyAlignment="1">
      <alignment horizontal="center" vertical="center"/>
    </xf>
    <xf numFmtId="0" fontId="7" fillId="5" borderId="10" xfId="0" applyFont="1" applyFill="1" applyBorder="1"/>
    <xf numFmtId="164" fontId="31" fillId="0" borderId="11" xfId="0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center"/>
    </xf>
    <xf numFmtId="164" fontId="32" fillId="0" borderId="7" xfId="1" applyNumberFormat="1" applyFont="1" applyBorder="1" applyAlignment="1">
      <alignment horizontal="center" vertical="center"/>
    </xf>
    <xf numFmtId="164" fontId="31" fillId="0" borderId="9" xfId="0" applyNumberFormat="1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164" fontId="13" fillId="0" borderId="11" xfId="1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6" fontId="5" fillId="0" borderId="7" xfId="0" applyNumberFormat="1" applyFont="1" applyBorder="1" applyAlignment="1">
      <alignment vertical="center" wrapText="1"/>
    </xf>
    <xf numFmtId="6" fontId="3" fillId="0" borderId="7" xfId="0" applyNumberFormat="1" applyFont="1" applyBorder="1" applyAlignment="1">
      <alignment vertical="center" wrapText="1"/>
    </xf>
    <xf numFmtId="6" fontId="17" fillId="0" borderId="0" xfId="0" applyNumberFormat="1" applyFont="1" applyAlignment="1">
      <alignment vertical="center" wrapText="1"/>
    </xf>
    <xf numFmtId="0" fontId="3" fillId="0" borderId="18" xfId="0" applyFont="1" applyBorder="1" applyAlignment="1">
      <alignment horizontal="left"/>
    </xf>
    <xf numFmtId="6" fontId="4" fillId="0" borderId="7" xfId="0" applyNumberFormat="1" applyFont="1" applyBorder="1" applyAlignment="1">
      <alignment vertical="center" wrapText="1"/>
    </xf>
    <xf numFmtId="164" fontId="11" fillId="0" borderId="7" xfId="1" applyNumberFormat="1" applyFont="1" applyBorder="1" applyAlignment="1"/>
    <xf numFmtId="164" fontId="11" fillId="0" borderId="11" xfId="1" applyNumberFormat="1" applyFont="1" applyBorder="1" applyAlignment="1">
      <alignment horizontal="center" vertical="center"/>
    </xf>
    <xf numFmtId="164" fontId="33" fillId="0" borderId="7" xfId="1" applyNumberFormat="1" applyFont="1" applyBorder="1" applyAlignment="1">
      <alignment horizontal="center" vertical="center" wrapText="1"/>
    </xf>
    <xf numFmtId="164" fontId="11" fillId="0" borderId="8" xfId="1" applyNumberFormat="1" applyFont="1" applyBorder="1" applyAlignment="1"/>
    <xf numFmtId="164" fontId="13" fillId="0" borderId="8" xfId="1" applyNumberFormat="1" applyFont="1" applyBorder="1" applyAlignment="1"/>
    <xf numFmtId="164" fontId="31" fillId="0" borderId="7" xfId="0" applyNumberFormat="1" applyFont="1" applyBorder="1" applyAlignment="1">
      <alignment horizontal="center"/>
    </xf>
    <xf numFmtId="0" fontId="7" fillId="0" borderId="10" xfId="0" applyFont="1" applyBorder="1"/>
    <xf numFmtId="164" fontId="14" fillId="0" borderId="7" xfId="1" applyNumberFormat="1" applyFont="1" applyBorder="1" applyAlignment="1"/>
    <xf numFmtId="0" fontId="34" fillId="0" borderId="7" xfId="0" applyFont="1" applyBorder="1" applyAlignment="1">
      <alignment vertical="center" wrapText="1"/>
    </xf>
    <xf numFmtId="164" fontId="35" fillId="0" borderId="7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9" xfId="0" applyFont="1" applyBorder="1"/>
    <xf numFmtId="0" fontId="3" fillId="0" borderId="17" xfId="0" applyFont="1" applyBorder="1"/>
    <xf numFmtId="0" fontId="16" fillId="0" borderId="6" xfId="0" applyFont="1" applyBorder="1" applyAlignment="1">
      <alignment vertical="center" wrapText="1"/>
    </xf>
    <xf numFmtId="164" fontId="36" fillId="0" borderId="7" xfId="1" applyNumberFormat="1" applyFont="1" applyBorder="1" applyAlignment="1">
      <alignment horizontal="center" vertical="center" wrapText="1"/>
    </xf>
    <xf numFmtId="164" fontId="13" fillId="0" borderId="7" xfId="1" applyNumberFormat="1" applyFont="1" applyBorder="1" applyAlignment="1"/>
    <xf numFmtId="0" fontId="37" fillId="0" borderId="7" xfId="0" applyFont="1" applyBorder="1"/>
    <xf numFmtId="0" fontId="38" fillId="7" borderId="7" xfId="0" applyFont="1" applyFill="1" applyBorder="1" applyAlignment="1">
      <alignment horizontal="center"/>
    </xf>
    <xf numFmtId="164" fontId="11" fillId="0" borderId="9" xfId="1" applyNumberFormat="1" applyFont="1" applyBorder="1" applyAlignment="1">
      <alignment horizontal="center"/>
    </xf>
    <xf numFmtId="0" fontId="3" fillId="0" borderId="0" xfId="0" applyFont="1" applyBorder="1" applyAlignment="1"/>
    <xf numFmtId="0" fontId="15" fillId="5" borderId="10" xfId="0" applyFont="1" applyFill="1" applyBorder="1"/>
    <xf numFmtId="164" fontId="39" fillId="0" borderId="9" xfId="0" applyNumberFormat="1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1" fillId="3" borderId="2" xfId="0" applyFont="1" applyFill="1" applyBorder="1" applyAlignment="1">
      <alignment horizontal="center"/>
    </xf>
    <xf numFmtId="0" fontId="41" fillId="3" borderId="3" xfId="0" applyFont="1" applyFill="1" applyBorder="1" applyAlignment="1">
      <alignment horizontal="center"/>
    </xf>
    <xf numFmtId="0" fontId="41" fillId="3" borderId="4" xfId="0" applyFont="1" applyFill="1" applyBorder="1" applyAlignment="1">
      <alignment horizontal="center"/>
    </xf>
    <xf numFmtId="164" fontId="42" fillId="0" borderId="7" xfId="1" applyNumberFormat="1" applyFont="1" applyBorder="1" applyAlignment="1">
      <alignment horizontal="right"/>
    </xf>
    <xf numFmtId="0" fontId="42" fillId="0" borderId="7" xfId="0" applyFont="1" applyBorder="1"/>
    <xf numFmtId="0" fontId="43" fillId="5" borderId="7" xfId="0" applyFont="1" applyFill="1" applyBorder="1"/>
    <xf numFmtId="164" fontId="44" fillId="5" borderId="7" xfId="3" applyNumberFormat="1" applyFont="1" applyFill="1" applyBorder="1"/>
    <xf numFmtId="0" fontId="42" fillId="5" borderId="7" xfId="0" applyFont="1" applyFill="1" applyBorder="1"/>
    <xf numFmtId="164" fontId="43" fillId="0" borderId="7" xfId="1" applyNumberFormat="1" applyFont="1" applyBorder="1" applyAlignment="1">
      <alignment horizontal="right"/>
    </xf>
    <xf numFmtId="0" fontId="46" fillId="0" borderId="7" xfId="0" applyFont="1" applyBorder="1" applyAlignment="1">
      <alignment vertical="center" wrapText="1"/>
    </xf>
    <xf numFmtId="0" fontId="41" fillId="0" borderId="0" xfId="0" applyFont="1"/>
    <xf numFmtId="0" fontId="41" fillId="0" borderId="15" xfId="0" applyFont="1" applyBorder="1" applyAlignment="1">
      <alignment horizontal="left"/>
    </xf>
    <xf numFmtId="0" fontId="44" fillId="0" borderId="7" xfId="0" applyFont="1" applyBorder="1" applyAlignment="1">
      <alignment vertical="center" wrapText="1"/>
    </xf>
    <xf numFmtId="0" fontId="47" fillId="0" borderId="7" xfId="0" applyFont="1" applyBorder="1" applyAlignment="1">
      <alignment vertical="center" wrapText="1"/>
    </xf>
    <xf numFmtId="164" fontId="45" fillId="0" borderId="7" xfId="1" applyNumberFormat="1" applyFont="1" applyBorder="1" applyAlignment="1">
      <alignment horizontal="right"/>
    </xf>
    <xf numFmtId="6" fontId="42" fillId="0" borderId="7" xfId="0" applyNumberFormat="1" applyFont="1" applyBorder="1" applyAlignment="1">
      <alignment vertical="center" wrapText="1"/>
    </xf>
    <xf numFmtId="0" fontId="41" fillId="0" borderId="7" xfId="0" applyFont="1" applyBorder="1"/>
    <xf numFmtId="0" fontId="41" fillId="0" borderId="7" xfId="0" applyFont="1" applyBorder="1" applyAlignment="1">
      <alignment vertical="center" wrapText="1"/>
    </xf>
    <xf numFmtId="6" fontId="41" fillId="0" borderId="7" xfId="0" applyNumberFormat="1" applyFont="1" applyBorder="1" applyAlignment="1">
      <alignment vertical="center" wrapText="1"/>
    </xf>
    <xf numFmtId="164" fontId="41" fillId="0" borderId="0" xfId="0" applyNumberFormat="1" applyFont="1" applyBorder="1" applyAlignment="1">
      <alignment horizontal="center"/>
    </xf>
    <xf numFmtId="0" fontId="37" fillId="4" borderId="7" xfId="0" applyFont="1" applyFill="1" applyBorder="1"/>
    <xf numFmtId="164" fontId="13" fillId="0" borderId="9" xfId="1" applyNumberFormat="1" applyFont="1" applyBorder="1" applyAlignment="1">
      <alignment horizontal="center"/>
    </xf>
    <xf numFmtId="0" fontId="48" fillId="0" borderId="6" xfId="0" applyFont="1" applyBorder="1" applyAlignment="1">
      <alignment vertical="center" wrapText="1"/>
    </xf>
    <xf numFmtId="164" fontId="49" fillId="0" borderId="7" xfId="1" applyNumberFormat="1" applyFont="1" applyBorder="1" applyAlignment="1">
      <alignment horizontal="center" vertical="center" wrapText="1"/>
    </xf>
  </cellXfs>
  <cellStyles count="5">
    <cellStyle name="Énfasis5" xfId="2" builtinId="45"/>
    <cellStyle name="Moneda" xfId="1" builtinId="4"/>
    <cellStyle name="Moneda 2" xfId="3" xr:uid="{CCCC6CA2-0611-4668-A415-02039D1099BB}"/>
    <cellStyle name="Normal" xfId="0" builtinId="0"/>
    <cellStyle name="Porcentaje" xfId="4" builtinId="5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688E-54A4-4DDF-BA01-93AD3DD0A137}">
  <dimension ref="A1:X1786"/>
  <sheetViews>
    <sheetView tabSelected="1" topLeftCell="K16" zoomScale="85" zoomScaleNormal="85" workbookViewId="0">
      <selection activeCell="V29" sqref="V29"/>
    </sheetView>
  </sheetViews>
  <sheetFormatPr baseColWidth="10" defaultRowHeight="18.75"/>
  <cols>
    <col min="1" max="1" width="5.7109375" style="9" customWidth="1"/>
    <col min="2" max="2" width="53" style="9" customWidth="1"/>
    <col min="3" max="3" width="30.42578125" style="9" customWidth="1"/>
    <col min="4" max="4" width="21.42578125" style="12" customWidth="1"/>
    <col min="5" max="5" width="3.85546875" style="9" customWidth="1"/>
    <col min="6" max="6" width="51.5703125" style="9" bestFit="1" customWidth="1"/>
    <col min="7" max="7" width="31" style="9" bestFit="1" customWidth="1"/>
    <col min="8" max="8" width="23.85546875" style="42" customWidth="1"/>
    <col min="9" max="9" width="5.140625" style="89" customWidth="1"/>
    <col min="10" max="10" width="52.28515625" style="18" customWidth="1"/>
    <col min="11" max="11" width="26.42578125" style="9" customWidth="1"/>
    <col min="12" max="12" width="20.5703125" style="13" customWidth="1"/>
    <col min="13" max="13" width="3.85546875" style="13" bestFit="1" customWidth="1"/>
    <col min="14" max="14" width="55.42578125" style="21" bestFit="1" customWidth="1"/>
    <col min="15" max="15" width="27.7109375" style="25" customWidth="1"/>
    <col min="16" max="16" width="19.85546875" style="43" customWidth="1"/>
    <col min="17" max="17" width="16" style="20" customWidth="1"/>
    <col min="18" max="18" width="17" style="20" customWidth="1"/>
    <col min="19" max="20" width="18" style="20" customWidth="1"/>
    <col min="22" max="22" width="10" customWidth="1"/>
    <col min="23" max="23" width="26.5703125" customWidth="1"/>
    <col min="24" max="24" width="14.5703125" customWidth="1"/>
  </cols>
  <sheetData>
    <row r="1" spans="1:24">
      <c r="A1" s="3" t="s">
        <v>0</v>
      </c>
      <c r="B1" s="1" t="s">
        <v>85</v>
      </c>
      <c r="C1" s="4" t="s">
        <v>2</v>
      </c>
      <c r="D1" s="10" t="s">
        <v>3</v>
      </c>
      <c r="E1" s="3" t="s">
        <v>0</v>
      </c>
      <c r="F1" s="1" t="s">
        <v>1</v>
      </c>
      <c r="G1" s="4" t="s">
        <v>2</v>
      </c>
      <c r="H1" s="10" t="s">
        <v>3</v>
      </c>
      <c r="I1" s="3"/>
      <c r="J1" s="1" t="s">
        <v>7</v>
      </c>
      <c r="K1" s="17" t="s">
        <v>2</v>
      </c>
      <c r="L1" s="58" t="s">
        <v>3</v>
      </c>
      <c r="M1" s="91"/>
      <c r="N1" s="16" t="s">
        <v>116</v>
      </c>
      <c r="O1" s="16" t="s">
        <v>2</v>
      </c>
      <c r="P1" s="19" t="s">
        <v>3</v>
      </c>
      <c r="Q1" s="19" t="s">
        <v>5</v>
      </c>
      <c r="R1" s="19" t="s">
        <v>6</v>
      </c>
      <c r="S1" s="19" t="s">
        <v>13</v>
      </c>
      <c r="T1" s="49" t="s">
        <v>19</v>
      </c>
      <c r="U1" s="49" t="s">
        <v>22</v>
      </c>
      <c r="V1" s="49" t="s">
        <v>23</v>
      </c>
      <c r="W1" s="49" t="s">
        <v>30</v>
      </c>
      <c r="X1" s="49" t="s">
        <v>47</v>
      </c>
    </row>
    <row r="2" spans="1:24" ht="22.5">
      <c r="A2" s="5">
        <v>1</v>
      </c>
      <c r="B2" s="54" t="s">
        <v>49</v>
      </c>
      <c r="C2" s="6">
        <v>1950000</v>
      </c>
      <c r="D2" s="121">
        <v>1450000</v>
      </c>
      <c r="E2" s="5">
        <v>1</v>
      </c>
      <c r="F2" s="54" t="s">
        <v>113</v>
      </c>
      <c r="G2" s="8">
        <v>1600000</v>
      </c>
      <c r="H2" s="60">
        <v>800000</v>
      </c>
      <c r="I2" s="5">
        <v>19</v>
      </c>
      <c r="J2" s="36" t="s">
        <v>8</v>
      </c>
      <c r="K2" s="6">
        <v>8800000</v>
      </c>
      <c r="L2" s="123">
        <v>8000000</v>
      </c>
      <c r="M2" s="92">
        <v>1</v>
      </c>
      <c r="N2" s="33" t="s">
        <v>114</v>
      </c>
      <c r="O2" s="15">
        <v>1900000</v>
      </c>
      <c r="P2" s="124">
        <v>900000</v>
      </c>
      <c r="Q2" s="100">
        <v>600000</v>
      </c>
      <c r="R2" s="15"/>
      <c r="S2" s="106" t="s">
        <v>117</v>
      </c>
      <c r="T2" s="52"/>
      <c r="U2" s="49" t="s">
        <v>118</v>
      </c>
      <c r="V2" s="49"/>
      <c r="W2" s="102" t="s">
        <v>119</v>
      </c>
      <c r="X2" s="101">
        <v>46176</v>
      </c>
    </row>
    <row r="3" spans="1:24" ht="22.5">
      <c r="A3" s="5">
        <v>2</v>
      </c>
      <c r="B3" s="54" t="s">
        <v>49</v>
      </c>
      <c r="C3" s="6">
        <v>1950000</v>
      </c>
      <c r="D3" s="121">
        <v>1450000</v>
      </c>
      <c r="E3" s="5">
        <v>2</v>
      </c>
      <c r="F3" s="54" t="s">
        <v>54</v>
      </c>
      <c r="G3" s="6">
        <v>1800000</v>
      </c>
      <c r="H3" s="99">
        <v>1000000</v>
      </c>
      <c r="I3" s="5">
        <v>20</v>
      </c>
      <c r="J3" s="36" t="s">
        <v>14</v>
      </c>
      <c r="K3" s="6">
        <v>8500000</v>
      </c>
      <c r="L3" s="123">
        <v>6000000</v>
      </c>
      <c r="M3" s="92">
        <v>2</v>
      </c>
      <c r="N3" s="104" t="s">
        <v>83</v>
      </c>
      <c r="O3" s="15">
        <v>1700000</v>
      </c>
      <c r="P3" s="111">
        <v>1000000</v>
      </c>
      <c r="Q3" s="100"/>
      <c r="R3" s="100">
        <v>2160000</v>
      </c>
      <c r="S3" s="103" t="s">
        <v>82</v>
      </c>
      <c r="T3" s="52"/>
      <c r="U3" s="49" t="s">
        <v>120</v>
      </c>
      <c r="V3" s="49"/>
      <c r="W3" s="53" t="s">
        <v>121</v>
      </c>
      <c r="X3" s="101">
        <v>46176</v>
      </c>
    </row>
    <row r="4" spans="1:24" ht="22.5">
      <c r="A4" s="5">
        <v>3</v>
      </c>
      <c r="B4" s="54" t="s">
        <v>49</v>
      </c>
      <c r="C4" s="6">
        <v>1950000</v>
      </c>
      <c r="D4" s="121">
        <v>1450000</v>
      </c>
      <c r="E4" s="5">
        <v>3</v>
      </c>
      <c r="F4" s="54" t="s">
        <v>135</v>
      </c>
      <c r="G4" s="6">
        <v>2100000</v>
      </c>
      <c r="H4" s="51">
        <v>1000000</v>
      </c>
      <c r="I4" s="5">
        <v>21</v>
      </c>
      <c r="J4" s="38" t="s">
        <v>17</v>
      </c>
      <c r="K4" s="37">
        <v>5500000</v>
      </c>
      <c r="L4" s="123">
        <v>4600000</v>
      </c>
      <c r="M4" s="92">
        <v>3</v>
      </c>
      <c r="N4" s="40" t="s">
        <v>50</v>
      </c>
      <c r="O4" s="47">
        <v>5500000</v>
      </c>
      <c r="P4" s="124">
        <v>4000000</v>
      </c>
      <c r="Q4" s="100">
        <v>1500000</v>
      </c>
      <c r="R4" s="15"/>
      <c r="S4" s="106" t="s">
        <v>117</v>
      </c>
      <c r="T4" s="52"/>
      <c r="U4" s="49" t="s">
        <v>118</v>
      </c>
      <c r="V4" s="49"/>
      <c r="W4" s="102" t="s">
        <v>122</v>
      </c>
      <c r="X4" s="101">
        <v>46177</v>
      </c>
    </row>
    <row r="5" spans="1:24" ht="22.5">
      <c r="A5" s="5">
        <v>4</v>
      </c>
      <c r="B5" s="54" t="s">
        <v>49</v>
      </c>
      <c r="C5" s="6">
        <v>1950000</v>
      </c>
      <c r="D5" s="30">
        <v>1450000</v>
      </c>
      <c r="E5" s="5">
        <v>4</v>
      </c>
      <c r="F5" s="54" t="s">
        <v>156</v>
      </c>
      <c r="G5" s="6">
        <v>2000000</v>
      </c>
      <c r="H5" s="60">
        <v>1000000</v>
      </c>
      <c r="I5" s="5">
        <v>22</v>
      </c>
      <c r="J5" s="38" t="s">
        <v>18</v>
      </c>
      <c r="K5" s="37">
        <v>5500000</v>
      </c>
      <c r="L5" s="123">
        <v>4500000</v>
      </c>
      <c r="M5" s="92">
        <v>4</v>
      </c>
      <c r="N5" s="40" t="s">
        <v>104</v>
      </c>
      <c r="O5" s="15">
        <v>3800000</v>
      </c>
      <c r="P5" s="124">
        <v>2600000</v>
      </c>
      <c r="Q5" s="100">
        <v>1600000</v>
      </c>
      <c r="R5" s="15"/>
      <c r="S5" s="103" t="s">
        <v>123</v>
      </c>
      <c r="T5" s="52">
        <v>4200000</v>
      </c>
      <c r="U5" s="49" t="s">
        <v>120</v>
      </c>
      <c r="V5" s="49" t="s">
        <v>125</v>
      </c>
      <c r="W5" s="102" t="s">
        <v>122</v>
      </c>
      <c r="X5" s="101">
        <v>46177</v>
      </c>
    </row>
    <row r="6" spans="1:24" ht="22.5">
      <c r="A6" s="5">
        <v>6</v>
      </c>
      <c r="B6" s="7" t="s">
        <v>86</v>
      </c>
      <c r="C6" s="6">
        <v>1790000</v>
      </c>
      <c r="D6" s="30">
        <v>1320000</v>
      </c>
      <c r="E6" s="5">
        <v>5</v>
      </c>
      <c r="F6" s="104" t="s">
        <v>183</v>
      </c>
      <c r="G6" s="15">
        <v>1600000</v>
      </c>
      <c r="H6" s="105">
        <v>1050000</v>
      </c>
      <c r="I6" s="5">
        <v>23</v>
      </c>
      <c r="J6" s="36" t="s">
        <v>81</v>
      </c>
      <c r="K6" s="6">
        <v>4600000</v>
      </c>
      <c r="L6" s="123">
        <v>3500000</v>
      </c>
      <c r="M6" s="92">
        <v>5</v>
      </c>
      <c r="N6" s="104" t="s">
        <v>84</v>
      </c>
      <c r="O6" s="15">
        <v>3800000</v>
      </c>
      <c r="P6" s="105">
        <v>3000000</v>
      </c>
      <c r="Q6" s="100">
        <v>1050000</v>
      </c>
      <c r="R6" s="15"/>
      <c r="S6" s="106" t="s">
        <v>28</v>
      </c>
      <c r="T6" s="52">
        <v>4050000</v>
      </c>
      <c r="U6" s="49" t="s">
        <v>120</v>
      </c>
      <c r="V6" s="49" t="s">
        <v>125</v>
      </c>
      <c r="W6" s="53" t="s">
        <v>121</v>
      </c>
      <c r="X6" s="101">
        <v>46178</v>
      </c>
    </row>
    <row r="7" spans="1:24" ht="22.5">
      <c r="A7" s="5">
        <v>7</v>
      </c>
      <c r="B7" s="7" t="s">
        <v>87</v>
      </c>
      <c r="C7" s="6">
        <v>1890000</v>
      </c>
      <c r="D7" s="30">
        <v>1420000</v>
      </c>
      <c r="E7" s="5">
        <v>6</v>
      </c>
      <c r="F7" s="54" t="s">
        <v>157</v>
      </c>
      <c r="G7" s="31">
        <v>2350000</v>
      </c>
      <c r="H7" s="51">
        <v>1100000</v>
      </c>
      <c r="I7" s="5">
        <v>24</v>
      </c>
      <c r="J7" s="33" t="s">
        <v>41</v>
      </c>
      <c r="K7" s="15">
        <v>4200000</v>
      </c>
      <c r="L7" s="124">
        <v>3400000</v>
      </c>
      <c r="M7" s="92">
        <v>6</v>
      </c>
      <c r="N7" s="135" t="s">
        <v>95</v>
      </c>
      <c r="O7" s="15">
        <v>2250000</v>
      </c>
      <c r="P7" s="136">
        <v>1690000</v>
      </c>
      <c r="Q7" s="100">
        <v>760000</v>
      </c>
      <c r="R7" s="100"/>
      <c r="S7" s="106" t="s">
        <v>28</v>
      </c>
      <c r="T7" s="52">
        <v>1950000</v>
      </c>
      <c r="U7" s="49" t="s">
        <v>80</v>
      </c>
      <c r="V7" s="49" t="s">
        <v>125</v>
      </c>
      <c r="W7" s="102" t="s">
        <v>119</v>
      </c>
      <c r="X7" s="101">
        <v>46179</v>
      </c>
    </row>
    <row r="8" spans="1:24" ht="22.5">
      <c r="A8" s="5">
        <v>8</v>
      </c>
      <c r="B8" s="7" t="s">
        <v>87</v>
      </c>
      <c r="C8" s="6">
        <v>1890000</v>
      </c>
      <c r="D8" s="30">
        <v>1420000</v>
      </c>
      <c r="E8" s="5">
        <v>7</v>
      </c>
      <c r="F8" s="54" t="s">
        <v>137</v>
      </c>
      <c r="G8" s="31">
        <v>2250000</v>
      </c>
      <c r="H8" s="60">
        <v>1100000</v>
      </c>
      <c r="I8" s="5">
        <v>25</v>
      </c>
      <c r="J8" s="2" t="s">
        <v>39</v>
      </c>
      <c r="K8" s="37">
        <v>4200000</v>
      </c>
      <c r="L8" s="123">
        <v>3100000</v>
      </c>
      <c r="M8" s="92">
        <v>7</v>
      </c>
      <c r="N8" s="104" t="s">
        <v>105</v>
      </c>
      <c r="O8" s="15">
        <v>1800000</v>
      </c>
      <c r="P8" s="125">
        <v>1100000</v>
      </c>
      <c r="Q8" s="100"/>
      <c r="R8" s="100">
        <v>1420000</v>
      </c>
      <c r="S8" s="108" t="s">
        <v>82</v>
      </c>
      <c r="T8" s="52"/>
      <c r="U8" s="49" t="s">
        <v>118</v>
      </c>
      <c r="V8" s="49"/>
      <c r="W8" s="102" t="s">
        <v>119</v>
      </c>
      <c r="X8" s="101">
        <v>46182</v>
      </c>
    </row>
    <row r="9" spans="1:24" ht="22.5">
      <c r="A9" s="5">
        <v>9</v>
      </c>
      <c r="B9" s="7" t="s">
        <v>87</v>
      </c>
      <c r="C9" s="6">
        <v>1890000</v>
      </c>
      <c r="D9" s="30">
        <v>1420000</v>
      </c>
      <c r="E9" s="5">
        <v>8</v>
      </c>
      <c r="F9" s="54" t="s">
        <v>138</v>
      </c>
      <c r="G9" s="31">
        <v>2350000</v>
      </c>
      <c r="H9" s="87">
        <v>1100000</v>
      </c>
      <c r="I9" s="5">
        <v>26</v>
      </c>
      <c r="J9" s="36" t="s">
        <v>15</v>
      </c>
      <c r="K9" s="6">
        <v>3600000</v>
      </c>
      <c r="L9" s="123">
        <v>2550000</v>
      </c>
      <c r="M9" s="92">
        <v>8</v>
      </c>
      <c r="N9" s="135" t="s">
        <v>100</v>
      </c>
      <c r="O9" s="15">
        <v>1940000</v>
      </c>
      <c r="P9" s="136">
        <v>1480000</v>
      </c>
      <c r="Q9" s="100">
        <v>660000</v>
      </c>
      <c r="R9" s="15"/>
      <c r="S9" s="103" t="s">
        <v>123</v>
      </c>
      <c r="T9" s="52">
        <v>2140000</v>
      </c>
      <c r="U9" s="49" t="s">
        <v>120</v>
      </c>
      <c r="V9" s="49" t="s">
        <v>125</v>
      </c>
      <c r="W9" s="102" t="s">
        <v>122</v>
      </c>
      <c r="X9" s="101">
        <v>46182</v>
      </c>
    </row>
    <row r="10" spans="1:24" ht="22.5">
      <c r="A10" s="5">
        <v>10</v>
      </c>
      <c r="B10" s="7" t="s">
        <v>87</v>
      </c>
      <c r="C10" s="6">
        <v>1890000</v>
      </c>
      <c r="D10" s="30">
        <v>1420000</v>
      </c>
      <c r="E10" s="5">
        <v>9</v>
      </c>
      <c r="F10" s="104" t="s">
        <v>182</v>
      </c>
      <c r="G10" s="15">
        <v>2000000</v>
      </c>
      <c r="H10" s="166">
        <v>1200000</v>
      </c>
      <c r="I10" s="5">
        <v>27</v>
      </c>
      <c r="J10" s="2" t="s">
        <v>67</v>
      </c>
      <c r="K10" s="6">
        <v>3500000</v>
      </c>
      <c r="L10" s="120">
        <v>2300000</v>
      </c>
      <c r="M10" s="92">
        <v>9</v>
      </c>
      <c r="N10" s="135" t="s">
        <v>95</v>
      </c>
      <c r="O10" s="15">
        <v>2250000</v>
      </c>
      <c r="P10" s="136">
        <v>1690000</v>
      </c>
      <c r="Q10" s="100">
        <v>750000</v>
      </c>
      <c r="R10" s="100"/>
      <c r="S10" s="106" t="s">
        <v>28</v>
      </c>
      <c r="T10" s="52">
        <v>2440000</v>
      </c>
      <c r="U10" s="49" t="s">
        <v>126</v>
      </c>
      <c r="V10" s="49" t="s">
        <v>125</v>
      </c>
      <c r="W10" s="102" t="s">
        <v>119</v>
      </c>
      <c r="X10" s="101">
        <v>46182</v>
      </c>
    </row>
    <row r="11" spans="1:24" ht="22.5">
      <c r="A11" s="5">
        <v>11</v>
      </c>
      <c r="B11" s="7" t="s">
        <v>87</v>
      </c>
      <c r="C11" s="6">
        <v>1890000</v>
      </c>
      <c r="D11" s="30">
        <v>1420000</v>
      </c>
      <c r="E11" s="5">
        <v>10</v>
      </c>
      <c r="F11" s="54" t="s">
        <v>46</v>
      </c>
      <c r="G11" s="6">
        <v>1900000</v>
      </c>
      <c r="H11" s="99">
        <v>1300000</v>
      </c>
      <c r="I11" s="5">
        <v>28</v>
      </c>
      <c r="J11" s="36" t="s">
        <v>88</v>
      </c>
      <c r="K11" s="6">
        <v>3000000</v>
      </c>
      <c r="L11" s="120">
        <v>2000000</v>
      </c>
      <c r="M11" s="92">
        <v>10</v>
      </c>
      <c r="N11" s="33" t="s">
        <v>11</v>
      </c>
      <c r="O11" s="15">
        <v>3500000</v>
      </c>
      <c r="P11" s="124">
        <v>2600000</v>
      </c>
      <c r="Q11" s="100"/>
      <c r="R11" s="100">
        <v>3518000</v>
      </c>
      <c r="S11" s="108" t="s">
        <v>82</v>
      </c>
      <c r="T11" s="52"/>
      <c r="U11" s="49" t="s">
        <v>120</v>
      </c>
      <c r="V11" s="49"/>
      <c r="W11" s="102" t="s">
        <v>128</v>
      </c>
      <c r="X11" s="101">
        <v>46183</v>
      </c>
    </row>
    <row r="12" spans="1:24" ht="22.5">
      <c r="A12" s="5">
        <v>12</v>
      </c>
      <c r="B12" s="130" t="s">
        <v>91</v>
      </c>
      <c r="C12" s="6">
        <v>1950000</v>
      </c>
      <c r="D12" s="122">
        <v>1400000</v>
      </c>
      <c r="E12" s="5">
        <v>11</v>
      </c>
      <c r="F12" s="7" t="s">
        <v>78</v>
      </c>
      <c r="G12" s="6">
        <v>2000000</v>
      </c>
      <c r="H12" s="11">
        <v>1300000</v>
      </c>
      <c r="I12" s="5">
        <v>29</v>
      </c>
      <c r="J12" s="36" t="s">
        <v>107</v>
      </c>
      <c r="K12" s="6">
        <v>2400000</v>
      </c>
      <c r="L12" s="123">
        <v>1200000</v>
      </c>
      <c r="M12" s="92">
        <v>11</v>
      </c>
      <c r="N12" s="126" t="s">
        <v>86</v>
      </c>
      <c r="O12" s="15">
        <v>1790000</v>
      </c>
      <c r="P12" s="106">
        <v>1320000</v>
      </c>
      <c r="Q12" s="100">
        <v>680000</v>
      </c>
      <c r="R12" s="100"/>
      <c r="S12" s="103" t="s">
        <v>129</v>
      </c>
      <c r="T12" s="52">
        <v>2000000</v>
      </c>
      <c r="U12" s="49" t="s">
        <v>118</v>
      </c>
      <c r="V12" s="49" t="s">
        <v>125</v>
      </c>
      <c r="W12" s="102" t="s">
        <v>122</v>
      </c>
      <c r="X12" s="101">
        <v>46183</v>
      </c>
    </row>
    <row r="13" spans="1:24" ht="22.5">
      <c r="A13" s="5">
        <v>13</v>
      </c>
      <c r="B13" s="130" t="s">
        <v>91</v>
      </c>
      <c r="C13" s="6">
        <v>1950000</v>
      </c>
      <c r="D13" s="122">
        <v>1400000</v>
      </c>
      <c r="E13" s="5">
        <v>12</v>
      </c>
      <c r="F13" s="104" t="s">
        <v>77</v>
      </c>
      <c r="G13" s="15">
        <v>2000000</v>
      </c>
      <c r="H13" s="166">
        <v>1300000</v>
      </c>
      <c r="I13" s="5">
        <v>30</v>
      </c>
      <c r="J13" s="36" t="s">
        <v>124</v>
      </c>
      <c r="K13" s="6">
        <v>4500000</v>
      </c>
      <c r="L13" s="120">
        <v>3600000</v>
      </c>
      <c r="M13" s="92">
        <v>12</v>
      </c>
      <c r="N13" s="104" t="s">
        <v>51</v>
      </c>
      <c r="O13" s="15">
        <v>1900000</v>
      </c>
      <c r="P13" s="125">
        <v>1100000</v>
      </c>
      <c r="Q13" s="100"/>
      <c r="R13" s="100">
        <v>2600000</v>
      </c>
      <c r="S13" s="108" t="s">
        <v>82</v>
      </c>
      <c r="T13" s="52"/>
      <c r="U13" s="49" t="s">
        <v>120</v>
      </c>
      <c r="V13" s="49"/>
      <c r="W13" s="102" t="s">
        <v>122</v>
      </c>
      <c r="X13" s="101">
        <v>46183</v>
      </c>
    </row>
    <row r="14" spans="1:24" ht="22.5">
      <c r="A14" s="5">
        <v>14</v>
      </c>
      <c r="B14" s="130" t="s">
        <v>92</v>
      </c>
      <c r="C14" s="6">
        <v>1950000</v>
      </c>
      <c r="D14" s="122">
        <v>1400000</v>
      </c>
      <c r="E14" s="5">
        <v>13</v>
      </c>
      <c r="F14" s="54" t="s">
        <v>76</v>
      </c>
      <c r="G14" s="6">
        <v>2300000</v>
      </c>
      <c r="H14" s="140">
        <v>1400000</v>
      </c>
      <c r="I14" s="5">
        <v>31</v>
      </c>
      <c r="J14" s="36" t="s">
        <v>110</v>
      </c>
      <c r="K14" s="6">
        <v>3600000</v>
      </c>
      <c r="L14" s="120">
        <v>2000000</v>
      </c>
      <c r="M14" s="92">
        <v>13</v>
      </c>
      <c r="N14" s="40" t="s">
        <v>69</v>
      </c>
      <c r="O14" s="15">
        <v>3300000</v>
      </c>
      <c r="P14" s="124">
        <v>2300000</v>
      </c>
      <c r="Q14" s="100">
        <v>1200000</v>
      </c>
      <c r="R14" s="15"/>
      <c r="S14" s="103" t="s">
        <v>123</v>
      </c>
      <c r="T14" s="52">
        <v>2500000</v>
      </c>
      <c r="U14" s="49" t="s">
        <v>120</v>
      </c>
      <c r="V14" s="49" t="s">
        <v>125</v>
      </c>
      <c r="W14" s="102" t="s">
        <v>122</v>
      </c>
      <c r="X14" s="101">
        <v>46185</v>
      </c>
    </row>
    <row r="15" spans="1:24" ht="22.5">
      <c r="A15" s="5">
        <v>15</v>
      </c>
      <c r="B15" s="130" t="s">
        <v>94</v>
      </c>
      <c r="C15" s="31">
        <v>2250000</v>
      </c>
      <c r="D15" s="122">
        <v>1690000</v>
      </c>
      <c r="E15" s="5">
        <v>14</v>
      </c>
      <c r="F15" s="54" t="s">
        <v>79</v>
      </c>
      <c r="G15" s="6">
        <v>2200000</v>
      </c>
      <c r="H15" s="140">
        <v>1500000</v>
      </c>
      <c r="I15" s="5">
        <v>32</v>
      </c>
      <c r="J15" s="36" t="s">
        <v>108</v>
      </c>
      <c r="K15" s="6">
        <v>2800000</v>
      </c>
      <c r="L15" s="120">
        <v>1400000</v>
      </c>
      <c r="M15" s="92">
        <v>14</v>
      </c>
      <c r="N15" s="126" t="s">
        <v>86</v>
      </c>
      <c r="O15" s="15">
        <v>1790000</v>
      </c>
      <c r="P15" s="106">
        <v>1320000</v>
      </c>
      <c r="Q15" s="100">
        <v>680000</v>
      </c>
      <c r="R15" s="15"/>
      <c r="S15" s="106" t="s">
        <v>28</v>
      </c>
      <c r="T15" s="52">
        <v>2000000</v>
      </c>
      <c r="U15" s="49" t="s">
        <v>126</v>
      </c>
      <c r="V15" s="49" t="s">
        <v>125</v>
      </c>
      <c r="W15" s="139" t="s">
        <v>134</v>
      </c>
      <c r="X15" s="101">
        <v>46185</v>
      </c>
    </row>
    <row r="16" spans="1:24" ht="22.5">
      <c r="A16" s="5">
        <v>16</v>
      </c>
      <c r="B16" s="130" t="s">
        <v>89</v>
      </c>
      <c r="C16" s="6">
        <v>1970000</v>
      </c>
      <c r="D16" s="122">
        <v>1480000</v>
      </c>
      <c r="E16" s="5">
        <v>15</v>
      </c>
      <c r="F16" s="54" t="s">
        <v>139</v>
      </c>
      <c r="G16" s="6">
        <v>3500000</v>
      </c>
      <c r="H16" s="87">
        <v>1600000</v>
      </c>
      <c r="I16" s="5">
        <v>33</v>
      </c>
      <c r="J16" s="36" t="s">
        <v>111</v>
      </c>
      <c r="K16" s="6">
        <v>3600000</v>
      </c>
      <c r="L16" s="120">
        <v>2000000</v>
      </c>
      <c r="M16" s="92">
        <v>15</v>
      </c>
      <c r="N16" s="33" t="s">
        <v>130</v>
      </c>
      <c r="O16" s="15">
        <v>3900000</v>
      </c>
      <c r="P16" s="137">
        <v>2900000</v>
      </c>
      <c r="Q16" s="100">
        <v>1200000</v>
      </c>
      <c r="R16" s="15"/>
      <c r="S16" s="103" t="s">
        <v>123</v>
      </c>
      <c r="T16" s="52">
        <v>4100000</v>
      </c>
      <c r="U16" s="49" t="s">
        <v>120</v>
      </c>
      <c r="V16" s="49" t="s">
        <v>125</v>
      </c>
      <c r="W16" s="53" t="s">
        <v>121</v>
      </c>
      <c r="X16" s="101">
        <v>46188</v>
      </c>
    </row>
    <row r="17" spans="1:24" ht="22.5">
      <c r="A17" s="5">
        <v>17</v>
      </c>
      <c r="B17" s="130" t="s">
        <v>96</v>
      </c>
      <c r="C17" s="31">
        <v>2340000</v>
      </c>
      <c r="D17" s="122">
        <v>1700000</v>
      </c>
      <c r="E17" s="5">
        <v>16</v>
      </c>
      <c r="F17" s="54" t="s">
        <v>146</v>
      </c>
      <c r="G17" s="6">
        <v>3000000</v>
      </c>
      <c r="H17" s="87">
        <v>2000000</v>
      </c>
      <c r="I17" s="5">
        <v>34</v>
      </c>
      <c r="J17" s="36" t="s">
        <v>112</v>
      </c>
      <c r="K17" s="6">
        <v>5500000</v>
      </c>
      <c r="L17" s="120">
        <v>4000000</v>
      </c>
      <c r="M17" s="92">
        <v>16</v>
      </c>
      <c r="N17" s="126" t="s">
        <v>24</v>
      </c>
      <c r="O17" s="15">
        <v>2000000</v>
      </c>
      <c r="P17" s="111">
        <v>1100000</v>
      </c>
      <c r="Q17" s="100">
        <v>1100000</v>
      </c>
      <c r="R17" s="100"/>
      <c r="S17" s="103" t="s">
        <v>123</v>
      </c>
      <c r="T17" s="52">
        <v>2200000</v>
      </c>
      <c r="U17" s="49" t="s">
        <v>120</v>
      </c>
      <c r="V17" s="49" t="s">
        <v>125</v>
      </c>
      <c r="W17" s="139" t="s">
        <v>134</v>
      </c>
      <c r="X17" s="101">
        <v>46190</v>
      </c>
    </row>
    <row r="18" spans="1:24" ht="22.5">
      <c r="A18" s="5">
        <v>18</v>
      </c>
      <c r="B18" s="131" t="s">
        <v>97</v>
      </c>
      <c r="C18" s="128" t="s">
        <v>109</v>
      </c>
      <c r="D18" s="129">
        <v>1700000</v>
      </c>
      <c r="E18" s="5">
        <v>17</v>
      </c>
      <c r="F18" s="54" t="s">
        <v>145</v>
      </c>
      <c r="G18" s="6">
        <v>3200000</v>
      </c>
      <c r="H18" s="87">
        <v>2200000</v>
      </c>
      <c r="I18" s="5">
        <v>35</v>
      </c>
      <c r="J18" s="36" t="s">
        <v>127</v>
      </c>
      <c r="K18" s="6">
        <v>3600000</v>
      </c>
      <c r="L18" s="120">
        <v>2500000</v>
      </c>
      <c r="M18" s="92">
        <v>17</v>
      </c>
      <c r="N18" s="104" t="s">
        <v>103</v>
      </c>
      <c r="O18" s="15">
        <v>4200000</v>
      </c>
      <c r="P18" s="105">
        <v>3200000</v>
      </c>
      <c r="Q18" s="100">
        <v>1200000</v>
      </c>
      <c r="R18" s="15"/>
      <c r="S18" s="106" t="s">
        <v>28</v>
      </c>
      <c r="T18" s="52">
        <v>4200000</v>
      </c>
      <c r="U18" s="49" t="s">
        <v>126</v>
      </c>
      <c r="V18" s="49" t="s">
        <v>125</v>
      </c>
      <c r="W18" s="139" t="s">
        <v>134</v>
      </c>
      <c r="X18" s="101">
        <v>46192</v>
      </c>
    </row>
    <row r="19" spans="1:24" ht="22.5">
      <c r="A19" s="5">
        <v>19</v>
      </c>
      <c r="B19" s="167" t="s">
        <v>98</v>
      </c>
      <c r="C19" s="6">
        <v>1970000</v>
      </c>
      <c r="D19" s="168">
        <v>1500000</v>
      </c>
      <c r="E19" s="5">
        <v>18</v>
      </c>
      <c r="F19" s="54" t="s">
        <v>144</v>
      </c>
      <c r="G19" s="6">
        <v>3300000</v>
      </c>
      <c r="H19" s="60">
        <v>2200000</v>
      </c>
      <c r="I19" s="5">
        <v>36</v>
      </c>
      <c r="J19" s="33" t="s">
        <v>131</v>
      </c>
      <c r="K19" s="15">
        <v>4900000</v>
      </c>
      <c r="L19" s="137">
        <v>3500000</v>
      </c>
      <c r="M19" s="92">
        <v>18</v>
      </c>
      <c r="N19" s="33" t="s">
        <v>21</v>
      </c>
      <c r="O19" s="15">
        <v>4500000</v>
      </c>
      <c r="P19" s="124">
        <v>3500000</v>
      </c>
      <c r="Q19" s="100">
        <v>1200000</v>
      </c>
      <c r="R19" s="15"/>
      <c r="S19" s="106" t="s">
        <v>28</v>
      </c>
      <c r="T19" s="52">
        <v>2700000</v>
      </c>
      <c r="U19" s="49" t="s">
        <v>118</v>
      </c>
      <c r="V19" s="49" t="s">
        <v>125</v>
      </c>
      <c r="W19" s="139" t="s">
        <v>134</v>
      </c>
      <c r="X19" s="101">
        <v>46192</v>
      </c>
    </row>
    <row r="20" spans="1:24" ht="22.5">
      <c r="A20" s="5">
        <v>20</v>
      </c>
      <c r="B20" s="130" t="s">
        <v>99</v>
      </c>
      <c r="C20" s="31">
        <v>2300000</v>
      </c>
      <c r="D20" s="122">
        <v>1700000</v>
      </c>
      <c r="E20" s="5">
        <v>19</v>
      </c>
      <c r="F20" s="142" t="s">
        <v>148</v>
      </c>
      <c r="G20" s="6">
        <v>1400000</v>
      </c>
      <c r="H20" s="143">
        <v>700000</v>
      </c>
      <c r="I20" s="5">
        <v>37</v>
      </c>
      <c r="J20" s="36" t="s">
        <v>132</v>
      </c>
      <c r="K20" s="6">
        <v>3900000</v>
      </c>
      <c r="L20" s="120">
        <v>2800000</v>
      </c>
      <c r="M20" s="92">
        <v>19</v>
      </c>
      <c r="N20" s="33" t="s">
        <v>35</v>
      </c>
      <c r="O20" s="15">
        <v>5500000</v>
      </c>
      <c r="P20" s="124">
        <v>4300000</v>
      </c>
      <c r="Q20" s="100">
        <v>1200000</v>
      </c>
      <c r="R20" s="15"/>
      <c r="S20" s="106" t="s">
        <v>117</v>
      </c>
      <c r="T20" s="52"/>
      <c r="U20" s="49" t="s">
        <v>120</v>
      </c>
      <c r="V20" s="49"/>
      <c r="W20" s="53" t="s">
        <v>121</v>
      </c>
      <c r="X20" s="101">
        <v>46192</v>
      </c>
    </row>
    <row r="21" spans="1:24" ht="22.5">
      <c r="A21" s="5">
        <v>21</v>
      </c>
      <c r="B21" s="130" t="s">
        <v>101</v>
      </c>
      <c r="C21" s="31">
        <v>2640000</v>
      </c>
      <c r="D21" s="122">
        <v>1980996</v>
      </c>
      <c r="E21" s="5">
        <v>20</v>
      </c>
      <c r="F21" s="54" t="s">
        <v>168</v>
      </c>
      <c r="G21" s="6">
        <v>2500000</v>
      </c>
      <c r="H21" s="140">
        <v>1500000</v>
      </c>
      <c r="I21" s="5">
        <v>38</v>
      </c>
      <c r="J21" s="36" t="s">
        <v>133</v>
      </c>
      <c r="K21" s="6">
        <v>3500000</v>
      </c>
      <c r="L21" s="120">
        <v>2500000</v>
      </c>
      <c r="M21" s="92">
        <v>20</v>
      </c>
      <c r="N21" s="126" t="s">
        <v>86</v>
      </c>
      <c r="O21" s="15">
        <v>1790000</v>
      </c>
      <c r="P21" s="106">
        <v>1320000</v>
      </c>
      <c r="Q21" s="100">
        <v>680000</v>
      </c>
      <c r="R21" s="100"/>
      <c r="S21" s="103" t="s">
        <v>123</v>
      </c>
      <c r="T21" s="52">
        <v>2000000</v>
      </c>
      <c r="U21" s="49" t="s">
        <v>120</v>
      </c>
      <c r="V21" s="49" t="s">
        <v>125</v>
      </c>
      <c r="W21" s="53" t="s">
        <v>121</v>
      </c>
      <c r="X21" s="101">
        <v>46192</v>
      </c>
    </row>
    <row r="22" spans="1:24" ht="22.5">
      <c r="A22" s="5">
        <v>22</v>
      </c>
      <c r="B22" s="130" t="s">
        <v>102</v>
      </c>
      <c r="C22" s="31">
        <v>3100000</v>
      </c>
      <c r="D22" s="122">
        <v>2359026</v>
      </c>
      <c r="E22" s="5">
        <v>21</v>
      </c>
      <c r="F22" s="54" t="s">
        <v>168</v>
      </c>
      <c r="G22" s="6">
        <v>2500000</v>
      </c>
      <c r="H22" s="140">
        <v>1500000</v>
      </c>
      <c r="I22" s="5">
        <v>39</v>
      </c>
      <c r="J22" s="36" t="s">
        <v>166</v>
      </c>
      <c r="K22" s="6">
        <v>4000000</v>
      </c>
      <c r="L22" s="120">
        <v>2800000</v>
      </c>
      <c r="M22" s="92">
        <v>21</v>
      </c>
      <c r="N22" s="104" t="s">
        <v>115</v>
      </c>
      <c r="O22" s="15">
        <v>1300000</v>
      </c>
      <c r="P22" s="125">
        <v>500000</v>
      </c>
      <c r="Q22" s="100"/>
      <c r="R22" s="100">
        <v>1440000</v>
      </c>
      <c r="S22" s="108" t="s">
        <v>82</v>
      </c>
      <c r="T22" s="52"/>
      <c r="U22" s="49" t="s">
        <v>118</v>
      </c>
      <c r="V22" s="49"/>
      <c r="W22" s="139" t="s">
        <v>134</v>
      </c>
      <c r="X22" s="101">
        <v>46193</v>
      </c>
    </row>
    <row r="23" spans="1:24" ht="22.5">
      <c r="A23" s="5">
        <v>23</v>
      </c>
      <c r="B23" s="131" t="s">
        <v>90</v>
      </c>
      <c r="C23" s="128" t="s">
        <v>109</v>
      </c>
      <c r="D23" s="129">
        <v>2413932</v>
      </c>
      <c r="E23" s="5">
        <v>22</v>
      </c>
      <c r="F23" s="54" t="s">
        <v>169</v>
      </c>
      <c r="G23" s="6">
        <v>1800000</v>
      </c>
      <c r="H23" s="87">
        <v>1000000</v>
      </c>
      <c r="I23" s="5">
        <v>40</v>
      </c>
      <c r="J23" s="36" t="s">
        <v>167</v>
      </c>
      <c r="K23" s="6">
        <v>4000000</v>
      </c>
      <c r="L23" s="120">
        <v>2900000</v>
      </c>
      <c r="M23" s="92">
        <v>22</v>
      </c>
      <c r="N23" s="33" t="s">
        <v>9</v>
      </c>
      <c r="O23" s="15">
        <v>3600000</v>
      </c>
      <c r="P23" s="124">
        <v>2600000</v>
      </c>
      <c r="Q23" s="100">
        <v>1000000</v>
      </c>
      <c r="R23" s="15"/>
      <c r="S23" s="106" t="s">
        <v>117</v>
      </c>
      <c r="T23" s="52"/>
      <c r="U23" s="49" t="s">
        <v>118</v>
      </c>
      <c r="V23" s="49"/>
      <c r="W23" s="102" t="s">
        <v>122</v>
      </c>
      <c r="X23" s="101">
        <v>46193</v>
      </c>
    </row>
    <row r="24" spans="1:24" ht="22.5">
      <c r="A24" s="5">
        <v>24</v>
      </c>
      <c r="B24" s="130" t="s">
        <v>92</v>
      </c>
      <c r="C24" s="6">
        <v>1950000</v>
      </c>
      <c r="D24" s="122">
        <v>1400000</v>
      </c>
      <c r="E24" s="5">
        <v>23</v>
      </c>
      <c r="F24" s="54" t="s">
        <v>172</v>
      </c>
      <c r="G24" s="6">
        <v>2200000</v>
      </c>
      <c r="H24" s="87">
        <v>1200000</v>
      </c>
      <c r="I24" s="5">
        <v>41</v>
      </c>
      <c r="J24" s="36" t="s">
        <v>170</v>
      </c>
      <c r="K24" s="6">
        <v>1500000</v>
      </c>
      <c r="L24" s="120">
        <v>1000000</v>
      </c>
      <c r="M24" s="92">
        <v>23</v>
      </c>
      <c r="N24" s="14" t="s">
        <v>12</v>
      </c>
      <c r="O24" s="15">
        <v>1200000</v>
      </c>
      <c r="P24" s="110">
        <v>850000</v>
      </c>
      <c r="Q24" s="100">
        <v>800000</v>
      </c>
      <c r="R24" s="100"/>
      <c r="S24" s="106" t="s">
        <v>117</v>
      </c>
      <c r="T24" s="52"/>
      <c r="U24" s="49" t="s">
        <v>120</v>
      </c>
      <c r="V24" s="49"/>
      <c r="W24" s="53" t="s">
        <v>121</v>
      </c>
      <c r="X24" s="101">
        <v>46193</v>
      </c>
    </row>
    <row r="25" spans="1:24" ht="22.5">
      <c r="A25" s="5">
        <v>25</v>
      </c>
      <c r="B25" s="130"/>
      <c r="C25" s="119"/>
      <c r="D25" s="115"/>
      <c r="E25" s="118"/>
      <c r="F25" s="54"/>
      <c r="G25" s="6"/>
      <c r="H25" s="87"/>
      <c r="I25" s="5">
        <v>42</v>
      </c>
      <c r="J25" s="36"/>
      <c r="K25" s="6"/>
      <c r="L25" s="120"/>
      <c r="M25" s="92">
        <v>24</v>
      </c>
      <c r="N25" s="40" t="s">
        <v>75</v>
      </c>
      <c r="O25" s="47">
        <v>3800000</v>
      </c>
      <c r="P25" s="124">
        <v>2600000</v>
      </c>
      <c r="Q25" s="100"/>
      <c r="R25" s="100">
        <v>2640000</v>
      </c>
      <c r="S25" s="108" t="s">
        <v>82</v>
      </c>
      <c r="T25" s="52"/>
      <c r="U25" s="49" t="s">
        <v>118</v>
      </c>
      <c r="V25" s="49"/>
      <c r="W25" s="139" t="s">
        <v>134</v>
      </c>
      <c r="X25" s="101">
        <v>46195</v>
      </c>
    </row>
    <row r="26" spans="1:24" ht="22.5">
      <c r="A26" s="5">
        <v>26</v>
      </c>
      <c r="B26" s="130"/>
      <c r="C26" s="119"/>
      <c r="D26" s="115"/>
      <c r="E26" s="118"/>
      <c r="F26" s="54"/>
      <c r="G26" s="6"/>
      <c r="H26" s="87"/>
      <c r="I26" s="5"/>
      <c r="J26" s="36"/>
      <c r="K26" s="6"/>
      <c r="L26" s="120"/>
      <c r="M26" s="98">
        <v>25</v>
      </c>
      <c r="N26" s="104" t="s">
        <v>76</v>
      </c>
      <c r="O26" s="15">
        <v>2200000</v>
      </c>
      <c r="P26" s="111">
        <v>1200000</v>
      </c>
      <c r="Q26" s="100"/>
      <c r="R26" s="100">
        <v>2400000</v>
      </c>
      <c r="S26" s="108" t="s">
        <v>82</v>
      </c>
      <c r="T26" s="52"/>
      <c r="U26" s="49" t="s">
        <v>118</v>
      </c>
      <c r="V26" s="49"/>
      <c r="W26" s="139" t="s">
        <v>134</v>
      </c>
      <c r="X26" s="101">
        <v>46195</v>
      </c>
    </row>
    <row r="27" spans="1:24" ht="23.25" thickBot="1">
      <c r="A27" s="5">
        <v>27</v>
      </c>
      <c r="B27" s="130"/>
      <c r="C27" s="119"/>
      <c r="D27" s="115"/>
      <c r="E27" s="118"/>
      <c r="F27" s="50"/>
      <c r="G27" s="50"/>
      <c r="H27" s="87"/>
      <c r="I27" s="5"/>
      <c r="J27" s="36"/>
      <c r="K27" s="6"/>
      <c r="L27" s="120"/>
      <c r="M27" s="98">
        <v>26</v>
      </c>
      <c r="N27" s="104" t="s">
        <v>106</v>
      </c>
      <c r="O27" s="15">
        <v>2000000</v>
      </c>
      <c r="P27" s="105">
        <v>1100000</v>
      </c>
      <c r="Q27" s="100"/>
      <c r="R27" s="100">
        <v>2396000</v>
      </c>
      <c r="S27" s="108" t="s">
        <v>82</v>
      </c>
      <c r="T27" s="52"/>
      <c r="U27" s="49" t="s">
        <v>126</v>
      </c>
      <c r="V27" s="49"/>
      <c r="W27" s="102" t="s">
        <v>122</v>
      </c>
      <c r="X27" s="101">
        <v>46197</v>
      </c>
    </row>
    <row r="28" spans="1:24" ht="23.25" thickBot="1">
      <c r="A28" s="5">
        <v>28</v>
      </c>
      <c r="B28" s="130"/>
      <c r="C28" s="119"/>
      <c r="D28" s="115"/>
      <c r="E28" s="118"/>
      <c r="F28" s="29" t="s">
        <v>4</v>
      </c>
      <c r="G28" s="26">
        <f>SUM(G2:G27,G2:G27)</f>
        <v>103700000</v>
      </c>
      <c r="H28" s="41">
        <f>SUM(H2:H27,H2:H27)</f>
        <v>60100000</v>
      </c>
      <c r="I28" s="34"/>
      <c r="J28" s="36"/>
      <c r="K28" s="6"/>
      <c r="L28" s="120"/>
      <c r="M28" s="98">
        <v>27</v>
      </c>
      <c r="N28" s="104" t="s">
        <v>145</v>
      </c>
      <c r="O28" s="15">
        <v>3300000</v>
      </c>
      <c r="P28" s="109">
        <v>2500000</v>
      </c>
      <c r="Q28" s="100">
        <v>1300000</v>
      </c>
      <c r="R28" s="15"/>
      <c r="S28" s="103" t="s">
        <v>123</v>
      </c>
      <c r="T28" s="52">
        <v>3500000</v>
      </c>
      <c r="U28" s="49" t="s">
        <v>118</v>
      </c>
      <c r="V28" s="49" t="s">
        <v>125</v>
      </c>
      <c r="W28" s="139" t="s">
        <v>134</v>
      </c>
      <c r="X28" s="101">
        <v>46197</v>
      </c>
    </row>
    <row r="29" spans="1:24" ht="23.25" thickBot="1">
      <c r="A29" s="5">
        <v>29</v>
      </c>
      <c r="B29" s="132"/>
      <c r="C29" s="116"/>
      <c r="D29" s="87"/>
      <c r="E29" s="118"/>
      <c r="G29" s="42"/>
      <c r="H29" s="9"/>
      <c r="I29" s="34"/>
      <c r="J29" s="36"/>
      <c r="K29" s="6"/>
      <c r="L29" s="120"/>
      <c r="M29" s="98">
        <v>28</v>
      </c>
      <c r="N29" s="135" t="s">
        <v>93</v>
      </c>
      <c r="O29" s="15">
        <v>2250000</v>
      </c>
      <c r="P29" s="136">
        <v>1690000</v>
      </c>
      <c r="Q29" s="100">
        <v>760000</v>
      </c>
      <c r="R29" s="100"/>
      <c r="S29" s="103" t="s">
        <v>123</v>
      </c>
      <c r="T29" s="52">
        <v>2450000</v>
      </c>
      <c r="U29" s="49" t="s">
        <v>126</v>
      </c>
      <c r="V29" s="49" t="s">
        <v>125</v>
      </c>
      <c r="W29" s="139" t="s">
        <v>134</v>
      </c>
      <c r="X29" s="101">
        <v>46198</v>
      </c>
    </row>
    <row r="30" spans="1:24" ht="23.25" thickBot="1">
      <c r="A30" s="5">
        <v>30</v>
      </c>
      <c r="B30" s="54"/>
      <c r="C30" s="6"/>
      <c r="D30" s="87"/>
      <c r="E30" s="118"/>
      <c r="G30" s="42"/>
      <c r="H30" s="13"/>
      <c r="I30" s="34"/>
      <c r="J30" s="35"/>
      <c r="K30" s="31"/>
      <c r="L30" s="127"/>
      <c r="M30" s="98">
        <v>29</v>
      </c>
      <c r="N30" s="40" t="s">
        <v>27</v>
      </c>
      <c r="O30" s="47">
        <v>2400000</v>
      </c>
      <c r="P30" s="124">
        <v>1400000</v>
      </c>
      <c r="Q30" s="100"/>
      <c r="R30" s="100">
        <v>2396000</v>
      </c>
      <c r="S30" s="108" t="s">
        <v>82</v>
      </c>
      <c r="T30" s="52"/>
      <c r="U30" s="49" t="s">
        <v>120</v>
      </c>
      <c r="V30" s="49"/>
      <c r="W30" s="139" t="s">
        <v>134</v>
      </c>
      <c r="X30" s="101">
        <v>46198</v>
      </c>
    </row>
    <row r="31" spans="1:24" ht="23.25" thickBot="1">
      <c r="A31" s="5">
        <v>31</v>
      </c>
      <c r="B31" s="18"/>
      <c r="C31" s="50"/>
      <c r="D31" s="87"/>
      <c r="E31" s="118"/>
      <c r="I31" s="34"/>
      <c r="J31" s="29" t="s">
        <v>4</v>
      </c>
      <c r="K31" s="26">
        <f>SUM(K2:K30)</f>
        <v>99200000</v>
      </c>
      <c r="L31" s="41">
        <f>SUM(L2:L30)</f>
        <v>72150000</v>
      </c>
      <c r="M31" s="98">
        <v>30</v>
      </c>
      <c r="N31" s="104" t="s">
        <v>55</v>
      </c>
      <c r="O31" s="15">
        <v>2000000</v>
      </c>
      <c r="P31" s="166">
        <v>1400000</v>
      </c>
      <c r="Q31" s="100"/>
      <c r="R31" s="100">
        <v>1400000</v>
      </c>
      <c r="S31" s="108" t="s">
        <v>82</v>
      </c>
      <c r="T31" s="52"/>
      <c r="U31" s="49" t="s">
        <v>118</v>
      </c>
      <c r="V31" s="49"/>
      <c r="W31" s="139" t="s">
        <v>134</v>
      </c>
      <c r="X31" s="101">
        <v>46199</v>
      </c>
    </row>
    <row r="32" spans="1:24" ht="23.25" thickBot="1">
      <c r="A32" s="5">
        <v>32</v>
      </c>
      <c r="B32" s="29" t="s">
        <v>4</v>
      </c>
      <c r="C32" s="26">
        <f>SUM(C2:C31,C2:C31)</f>
        <v>86820000</v>
      </c>
      <c r="D32" s="41">
        <f>SUM(D2:D31,D2:D31)</f>
        <v>72687908</v>
      </c>
      <c r="E32" s="118"/>
      <c r="I32" s="34"/>
      <c r="J32" s="28"/>
      <c r="K32" s="141"/>
      <c r="L32" s="24"/>
      <c r="M32" s="98">
        <v>31</v>
      </c>
      <c r="N32" s="104" t="s">
        <v>140</v>
      </c>
      <c r="O32" s="15">
        <v>1600000</v>
      </c>
      <c r="P32" s="105">
        <v>800000</v>
      </c>
      <c r="Q32" s="100"/>
      <c r="R32" s="100">
        <v>2296000</v>
      </c>
      <c r="S32" s="108" t="s">
        <v>82</v>
      </c>
      <c r="T32" s="52"/>
      <c r="U32" s="49" t="s">
        <v>118</v>
      </c>
      <c r="V32" s="49"/>
      <c r="W32" s="139" t="s">
        <v>134</v>
      </c>
      <c r="X32" s="101">
        <v>46200</v>
      </c>
    </row>
    <row r="33" spans="1:24" ht="23.25" thickBot="1">
      <c r="A33" s="5"/>
      <c r="B33" s="12"/>
      <c r="C33" s="25"/>
      <c r="D33" s="9"/>
      <c r="E33" s="5"/>
      <c r="I33" s="34"/>
      <c r="J33" s="13"/>
      <c r="K33"/>
      <c r="L33"/>
      <c r="M33" s="98">
        <v>32</v>
      </c>
      <c r="N33" s="104" t="s">
        <v>147</v>
      </c>
      <c r="O33" s="15">
        <v>1400000</v>
      </c>
      <c r="P33" s="109">
        <v>500000</v>
      </c>
      <c r="Q33" s="100"/>
      <c r="R33" s="100">
        <v>15400000</v>
      </c>
      <c r="S33" s="108" t="s">
        <v>82</v>
      </c>
      <c r="T33" s="52"/>
      <c r="U33" s="49" t="s">
        <v>120</v>
      </c>
      <c r="V33" s="49"/>
      <c r="W33" s="102" t="s">
        <v>122</v>
      </c>
      <c r="X33" s="101">
        <v>46202</v>
      </c>
    </row>
    <row r="34" spans="1:24" ht="23.25" thickBot="1">
      <c r="A34" s="5"/>
      <c r="B34" s="12"/>
      <c r="C34" s="25"/>
      <c r="D34" s="9"/>
      <c r="E34" s="5"/>
      <c r="G34" s="42"/>
      <c r="H34" s="21"/>
      <c r="I34" s="34"/>
      <c r="J34" s="13"/>
      <c r="K34"/>
      <c r="L34"/>
      <c r="M34" s="98">
        <v>33</v>
      </c>
      <c r="N34" s="104" t="s">
        <v>182</v>
      </c>
      <c r="O34" s="15">
        <v>2000000</v>
      </c>
      <c r="P34" s="166">
        <v>1200000</v>
      </c>
      <c r="Q34" s="100"/>
      <c r="R34" s="100">
        <v>1800000</v>
      </c>
      <c r="S34" s="108" t="s">
        <v>82</v>
      </c>
      <c r="T34" s="52"/>
      <c r="U34" s="49" t="s">
        <v>118</v>
      </c>
      <c r="V34" s="49"/>
      <c r="W34" s="139" t="s">
        <v>134</v>
      </c>
      <c r="X34" s="101">
        <v>46202</v>
      </c>
    </row>
    <row r="35" spans="1:24" ht="22.5">
      <c r="A35" s="5"/>
      <c r="C35" s="25"/>
      <c r="D35" s="9"/>
      <c r="E35" s="5"/>
      <c r="G35" s="42"/>
      <c r="H35" s="21"/>
      <c r="I35" s="34"/>
      <c r="J35" s="13"/>
      <c r="K35"/>
      <c r="L35"/>
      <c r="M35" s="98">
        <v>34</v>
      </c>
      <c r="N35" s="33" t="s">
        <v>131</v>
      </c>
      <c r="O35" s="15">
        <v>4900000</v>
      </c>
      <c r="P35" s="137">
        <v>3500000</v>
      </c>
      <c r="Q35" s="100">
        <v>1600000</v>
      </c>
      <c r="R35" s="15"/>
      <c r="S35" s="106" t="s">
        <v>28</v>
      </c>
      <c r="T35" s="52">
        <v>5100000</v>
      </c>
      <c r="U35" s="49" t="s">
        <v>126</v>
      </c>
      <c r="V35" s="49"/>
      <c r="W35" s="139" t="s">
        <v>134</v>
      </c>
      <c r="X35" s="101">
        <v>46202</v>
      </c>
    </row>
    <row r="36" spans="1:24" ht="22.5">
      <c r="A36" s="5"/>
      <c r="D36" s="25"/>
      <c r="E36" s="5"/>
      <c r="G36" s="42"/>
      <c r="H36" s="21"/>
      <c r="I36" s="9"/>
      <c r="J36" s="9"/>
      <c r="K36" s="13"/>
      <c r="L36"/>
      <c r="M36" s="98">
        <v>35</v>
      </c>
      <c r="N36" s="33" t="s">
        <v>41</v>
      </c>
      <c r="O36" s="15">
        <v>4200000</v>
      </c>
      <c r="P36" s="124">
        <v>3400000</v>
      </c>
      <c r="Q36" s="100">
        <v>1000000</v>
      </c>
      <c r="R36" s="15"/>
      <c r="S36" s="106" t="s">
        <v>28</v>
      </c>
      <c r="T36" s="52">
        <v>4400000</v>
      </c>
      <c r="U36" s="49" t="s">
        <v>118</v>
      </c>
      <c r="V36" s="49"/>
      <c r="W36" s="139" t="s">
        <v>134</v>
      </c>
      <c r="X36" s="101">
        <v>46202</v>
      </c>
    </row>
    <row r="37" spans="1:24" ht="22.5">
      <c r="A37" s="133"/>
      <c r="D37" s="25"/>
      <c r="E37" s="27"/>
      <c r="I37" s="9"/>
      <c r="J37" s="9"/>
      <c r="K37" s="13"/>
      <c r="L37"/>
      <c r="M37" s="98">
        <v>36</v>
      </c>
      <c r="N37" s="104" t="s">
        <v>183</v>
      </c>
      <c r="O37" s="15">
        <v>1600000</v>
      </c>
      <c r="P37" s="105">
        <v>1050000</v>
      </c>
      <c r="Q37" s="100">
        <v>300000</v>
      </c>
      <c r="R37" s="15"/>
      <c r="S37" s="103" t="s">
        <v>123</v>
      </c>
      <c r="T37" s="52">
        <v>1850000</v>
      </c>
      <c r="U37" s="49" t="s">
        <v>126</v>
      </c>
      <c r="V37" s="49"/>
      <c r="W37" s="139" t="s">
        <v>134</v>
      </c>
      <c r="X37" s="101">
        <v>46202</v>
      </c>
    </row>
    <row r="38" spans="1:24" ht="22.5">
      <c r="A38" s="133"/>
      <c r="D38" s="25"/>
      <c r="I38" s="9"/>
      <c r="J38" s="9"/>
      <c r="K38" s="13"/>
      <c r="L38"/>
      <c r="M38" s="98">
        <v>37</v>
      </c>
      <c r="N38" s="104" t="s">
        <v>77</v>
      </c>
      <c r="O38" s="15">
        <v>2000000</v>
      </c>
      <c r="P38" s="166">
        <v>1300000</v>
      </c>
      <c r="Q38" s="100"/>
      <c r="R38" s="100">
        <v>2196000</v>
      </c>
      <c r="S38" s="108" t="s">
        <v>82</v>
      </c>
      <c r="T38" s="52"/>
      <c r="U38" s="49" t="s">
        <v>118</v>
      </c>
      <c r="V38" s="49"/>
      <c r="W38" s="139" t="s">
        <v>134</v>
      </c>
      <c r="X38" s="101">
        <v>46202</v>
      </c>
    </row>
    <row r="39" spans="1:24" ht="22.5">
      <c r="A39" s="133"/>
      <c r="D39" s="25"/>
      <c r="I39" s="9"/>
      <c r="J39" s="9"/>
      <c r="K39" s="13"/>
      <c r="L39"/>
      <c r="M39" s="98">
        <v>38</v>
      </c>
      <c r="N39" s="104"/>
      <c r="O39" s="15"/>
      <c r="P39" s="105"/>
      <c r="Q39" s="100"/>
      <c r="R39" s="15"/>
      <c r="S39" s="106"/>
      <c r="T39" s="52"/>
      <c r="U39" s="49"/>
      <c r="V39" s="49"/>
      <c r="W39" s="102"/>
      <c r="X39" s="101"/>
    </row>
    <row r="40" spans="1:24" ht="22.5">
      <c r="A40" s="133"/>
      <c r="D40" s="25"/>
      <c r="I40" s="13"/>
      <c r="J40" s="9"/>
      <c r="K40" s="13"/>
      <c r="L40"/>
      <c r="M40" s="98">
        <v>39</v>
      </c>
      <c r="N40" s="104"/>
      <c r="O40" s="15"/>
      <c r="P40" s="105"/>
      <c r="Q40" s="100"/>
      <c r="R40" s="15"/>
      <c r="S40" s="106"/>
      <c r="T40" s="52"/>
      <c r="U40" s="49"/>
      <c r="V40" s="49"/>
      <c r="W40" s="102"/>
      <c r="X40" s="101"/>
    </row>
    <row r="41" spans="1:24" ht="23.25" thickBot="1">
      <c r="A41" s="134"/>
      <c r="D41" s="25"/>
      <c r="I41" s="9"/>
      <c r="J41" s="9"/>
      <c r="K41" s="13"/>
      <c r="L41"/>
      <c r="M41" s="98">
        <v>40</v>
      </c>
      <c r="N41" s="104"/>
      <c r="O41" s="15"/>
      <c r="P41" s="105"/>
      <c r="Q41" s="100"/>
      <c r="R41" s="15"/>
      <c r="S41" s="106"/>
      <c r="T41" s="52"/>
      <c r="U41" s="49"/>
      <c r="V41" s="49"/>
      <c r="W41" s="102"/>
      <c r="X41" s="101"/>
    </row>
    <row r="42" spans="1:24" ht="22.5">
      <c r="D42" s="25"/>
      <c r="I42" s="9"/>
      <c r="J42" s="9"/>
      <c r="K42" s="13"/>
      <c r="L42"/>
      <c r="M42" s="98">
        <v>41</v>
      </c>
      <c r="N42" s="104"/>
      <c r="O42" s="15"/>
      <c r="P42" s="105"/>
      <c r="Q42" s="100"/>
      <c r="R42" s="15"/>
      <c r="S42" s="106"/>
      <c r="T42" s="52"/>
      <c r="U42" s="49"/>
      <c r="V42" s="49"/>
      <c r="W42" s="102"/>
      <c r="X42" s="101"/>
    </row>
    <row r="43" spans="1:24" ht="22.5">
      <c r="D43" s="25"/>
      <c r="F43" s="112"/>
      <c r="G43" s="112"/>
      <c r="H43" s="112"/>
      <c r="I43" s="88"/>
      <c r="J43" s="9"/>
      <c r="K43" s="13"/>
      <c r="L43"/>
      <c r="M43" s="98">
        <v>42</v>
      </c>
      <c r="N43" s="104"/>
      <c r="O43" s="15"/>
      <c r="P43" s="105"/>
      <c r="Q43" s="100"/>
      <c r="R43" s="15"/>
      <c r="S43" s="106"/>
      <c r="T43" s="52"/>
      <c r="U43" s="49"/>
      <c r="V43" s="49"/>
      <c r="W43" s="102"/>
      <c r="X43" s="101"/>
    </row>
    <row r="44" spans="1:24" ht="22.5">
      <c r="D44" s="25"/>
      <c r="F44" s="113"/>
      <c r="G44" s="114"/>
      <c r="H44" s="117"/>
      <c r="J44" s="13"/>
      <c r="K44"/>
      <c r="L44"/>
      <c r="M44" s="98">
        <v>43</v>
      </c>
      <c r="N44" s="104"/>
      <c r="O44" s="15"/>
      <c r="P44" s="105"/>
      <c r="Q44" s="100"/>
      <c r="R44" s="15"/>
      <c r="S44" s="106"/>
      <c r="T44" s="52"/>
      <c r="U44" s="49"/>
      <c r="V44" s="49"/>
      <c r="W44" s="102"/>
      <c r="X44" s="101"/>
    </row>
    <row r="45" spans="1:24" ht="22.5">
      <c r="D45" s="25"/>
      <c r="F45" s="113"/>
      <c r="G45" s="114"/>
      <c r="H45" s="117"/>
      <c r="J45" s="13"/>
      <c r="K45"/>
      <c r="L45"/>
      <c r="M45" s="98">
        <v>44</v>
      </c>
      <c r="N45" s="104"/>
      <c r="O45" s="15"/>
      <c r="P45" s="105"/>
      <c r="Q45" s="100"/>
      <c r="R45" s="15"/>
      <c r="S45" s="106"/>
      <c r="T45" s="52"/>
      <c r="U45" s="49"/>
      <c r="V45" s="49"/>
      <c r="W45" s="102"/>
      <c r="X45" s="101"/>
    </row>
    <row r="46" spans="1:24" ht="22.5">
      <c r="A46" s="84"/>
      <c r="B46" s="85" t="s">
        <v>73</v>
      </c>
      <c r="C46" s="85" t="s">
        <v>3</v>
      </c>
      <c r="D46" s="85" t="s">
        <v>74</v>
      </c>
      <c r="F46" s="113"/>
      <c r="G46" s="114"/>
      <c r="H46" s="117"/>
      <c r="J46" s="13"/>
      <c r="K46"/>
      <c r="L46"/>
      <c r="M46" s="98">
        <v>45</v>
      </c>
      <c r="N46" s="104"/>
      <c r="O46" s="15"/>
      <c r="P46" s="105"/>
      <c r="Q46" s="100"/>
      <c r="R46" s="15"/>
      <c r="S46" s="106"/>
      <c r="T46" s="52"/>
      <c r="U46" s="49"/>
      <c r="V46" s="49"/>
      <c r="W46" s="102"/>
      <c r="X46" s="101"/>
    </row>
    <row r="47" spans="1:24" ht="22.5">
      <c r="A47" s="50">
        <v>1</v>
      </c>
      <c r="B47" s="138" t="s">
        <v>141</v>
      </c>
      <c r="C47" s="125">
        <v>100000</v>
      </c>
      <c r="D47" s="138">
        <v>3.5</v>
      </c>
      <c r="F47" s="113"/>
      <c r="G47" s="114"/>
      <c r="H47" s="117"/>
      <c r="J47" s="13"/>
      <c r="K47"/>
      <c r="L47"/>
      <c r="M47" s="98">
        <v>46</v>
      </c>
      <c r="N47" s="14"/>
      <c r="O47" s="15"/>
      <c r="P47" s="15"/>
      <c r="Q47" s="15"/>
      <c r="R47" s="15"/>
      <c r="S47" s="30"/>
      <c r="T47" s="52"/>
      <c r="U47" s="49"/>
      <c r="V47" s="49"/>
      <c r="W47" s="53"/>
      <c r="X47" s="53"/>
    </row>
    <row r="48" spans="1:24">
      <c r="A48" s="50">
        <v>2</v>
      </c>
      <c r="B48" s="138" t="s">
        <v>142</v>
      </c>
      <c r="C48" s="125">
        <v>100000</v>
      </c>
      <c r="D48" s="138">
        <v>2</v>
      </c>
      <c r="F48" s="113"/>
      <c r="G48" s="114"/>
      <c r="H48" s="117"/>
      <c r="J48" s="113"/>
      <c r="K48" s="113"/>
      <c r="L48" s="117"/>
      <c r="M48" s="98">
        <v>47</v>
      </c>
      <c r="N48" s="59"/>
      <c r="O48" s="22"/>
      <c r="P48" s="23">
        <f>SUM(P2:P47)</f>
        <v>70010000</v>
      </c>
      <c r="Q48" s="23">
        <f>SUM(Q2:Q47)</f>
        <v>22820000</v>
      </c>
      <c r="R48" s="23">
        <f>SUM(R2:R47)</f>
        <v>44062000</v>
      </c>
      <c r="S48" s="44"/>
      <c r="T48" s="52">
        <f>SUM(T2:T47)</f>
        <v>53780000</v>
      </c>
      <c r="U48" s="49"/>
      <c r="V48" s="49"/>
      <c r="W48" s="49"/>
      <c r="X48" s="20"/>
    </row>
    <row r="49" spans="1:24">
      <c r="A49" s="50">
        <v>3</v>
      </c>
      <c r="B49" s="138" t="s">
        <v>143</v>
      </c>
      <c r="C49" s="125">
        <v>100000</v>
      </c>
      <c r="D49" s="138">
        <v>2.8</v>
      </c>
      <c r="F49" s="113"/>
      <c r="G49" s="114"/>
      <c r="H49" s="117"/>
      <c r="I49" s="90"/>
      <c r="J49" s="113"/>
      <c r="K49" s="113"/>
      <c r="L49" s="117"/>
      <c r="M49" s="98">
        <v>48</v>
      </c>
      <c r="O49" s="20"/>
      <c r="P49" s="20"/>
      <c r="R49" s="45"/>
      <c r="S49" s="48"/>
      <c r="U49" s="20"/>
      <c r="V49" s="20"/>
      <c r="W49" s="20"/>
    </row>
    <row r="50" spans="1:24">
      <c r="A50" s="50">
        <v>4</v>
      </c>
      <c r="B50" s="50"/>
      <c r="C50" s="51"/>
      <c r="D50" s="50"/>
      <c r="F50" s="113"/>
      <c r="G50" s="114"/>
      <c r="H50" s="117"/>
      <c r="I50" s="90"/>
      <c r="J50" s="113"/>
      <c r="K50" s="113"/>
      <c r="L50" s="117"/>
      <c r="M50"/>
      <c r="O50" s="20"/>
      <c r="P50" s="20"/>
      <c r="R50" s="45"/>
      <c r="S50" s="48"/>
      <c r="U50" s="20"/>
      <c r="V50" s="20"/>
      <c r="W50" s="20"/>
      <c r="X50" s="20"/>
    </row>
    <row r="51" spans="1:24">
      <c r="A51" s="50">
        <v>5</v>
      </c>
      <c r="B51" s="50"/>
      <c r="C51" s="51"/>
      <c r="D51" s="50"/>
      <c r="F51" s="113"/>
      <c r="G51" s="114"/>
      <c r="H51" s="117"/>
      <c r="I51" s="90"/>
      <c r="J51" s="113"/>
      <c r="K51" s="113"/>
      <c r="L51" s="117"/>
      <c r="M51"/>
      <c r="O51" s="20"/>
      <c r="P51" s="20"/>
      <c r="R51" s="45"/>
      <c r="S51" s="48"/>
      <c r="U51" s="20"/>
      <c r="V51" s="20"/>
      <c r="W51" s="20"/>
      <c r="X51" s="20"/>
    </row>
    <row r="52" spans="1:24">
      <c r="A52" s="50">
        <v>6</v>
      </c>
      <c r="B52" s="50"/>
      <c r="C52" s="51"/>
      <c r="D52" s="50"/>
      <c r="F52" s="113"/>
      <c r="G52" s="114"/>
      <c r="H52" s="117"/>
      <c r="I52" s="112"/>
      <c r="J52" s="113"/>
      <c r="K52" s="113"/>
      <c r="L52" s="117"/>
      <c r="M52"/>
      <c r="O52" s="21"/>
      <c r="P52" s="20"/>
      <c r="S52" s="45"/>
      <c r="T52" s="48"/>
      <c r="U52" s="20"/>
      <c r="V52" s="20"/>
      <c r="W52" s="20"/>
      <c r="X52" s="20"/>
    </row>
    <row r="53" spans="1:24">
      <c r="A53" s="50">
        <v>7</v>
      </c>
      <c r="B53" s="50"/>
      <c r="C53" s="51"/>
      <c r="D53" s="50"/>
      <c r="F53" s="113"/>
      <c r="G53" s="114"/>
      <c r="H53" s="117"/>
      <c r="I53" s="114"/>
      <c r="J53" s="113"/>
      <c r="K53" s="113"/>
      <c r="L53" s="117"/>
      <c r="M53"/>
      <c r="N53" s="24"/>
      <c r="O53" s="21"/>
      <c r="P53" s="20"/>
      <c r="S53" s="45"/>
      <c r="T53" s="48"/>
      <c r="U53" s="20"/>
      <c r="V53" s="20"/>
      <c r="W53" s="20"/>
      <c r="X53" s="20"/>
    </row>
    <row r="54" spans="1:24">
      <c r="A54" s="50">
        <v>8</v>
      </c>
      <c r="B54" s="50"/>
      <c r="C54" s="50"/>
      <c r="D54" s="51"/>
      <c r="I54" s="114"/>
      <c r="J54" s="113"/>
      <c r="K54" s="113"/>
      <c r="L54" s="117"/>
      <c r="M54"/>
      <c r="N54" s="9"/>
      <c r="O54" s="13"/>
      <c r="P54" s="20"/>
      <c r="S54" s="45"/>
      <c r="T54" s="48"/>
      <c r="U54" s="20"/>
      <c r="V54" s="20"/>
      <c r="W54" s="20"/>
      <c r="X54" s="20"/>
    </row>
    <row r="55" spans="1:24">
      <c r="A55" s="50">
        <v>9</v>
      </c>
      <c r="B55" s="50"/>
      <c r="C55" s="50"/>
      <c r="D55" s="51"/>
      <c r="G55" s="112"/>
      <c r="H55" s="112"/>
      <c r="I55" s="114"/>
      <c r="J55" s="113"/>
      <c r="K55" s="113"/>
      <c r="L55" s="117"/>
      <c r="M55"/>
      <c r="N55" s="24"/>
      <c r="O55" s="21"/>
      <c r="P55" s="20"/>
      <c r="S55" s="45"/>
      <c r="T55" s="43"/>
      <c r="U55" s="20"/>
      <c r="V55" s="20"/>
      <c r="W55" s="20"/>
      <c r="X55" s="20"/>
    </row>
    <row r="56" spans="1:24">
      <c r="A56" s="50"/>
      <c r="B56" s="50"/>
      <c r="C56" s="50"/>
      <c r="D56" s="51"/>
      <c r="F56" s="113"/>
      <c r="G56" s="117"/>
      <c r="H56" s="114"/>
      <c r="I56" s="114"/>
      <c r="J56" s="113"/>
      <c r="K56" s="113"/>
      <c r="L56" s="117"/>
      <c r="M56"/>
      <c r="N56" s="9"/>
      <c r="O56" s="13"/>
      <c r="P56" s="20"/>
      <c r="S56" s="45"/>
      <c r="T56" s="48"/>
      <c r="U56" s="20"/>
      <c r="V56" s="20"/>
      <c r="W56" s="20"/>
      <c r="X56" s="20"/>
    </row>
    <row r="57" spans="1:24">
      <c r="A57" s="50"/>
      <c r="B57" s="50"/>
      <c r="C57" s="50"/>
      <c r="D57" s="51"/>
      <c r="F57" s="113"/>
      <c r="G57" s="117"/>
      <c r="H57" s="114"/>
      <c r="I57" s="114"/>
      <c r="J57" s="113"/>
      <c r="K57" s="113"/>
      <c r="L57" s="117"/>
      <c r="M57"/>
      <c r="N57" s="24"/>
      <c r="O57" s="21"/>
      <c r="P57" s="20"/>
      <c r="S57" s="45"/>
      <c r="T57" s="43"/>
      <c r="U57" s="20"/>
      <c r="V57" s="20"/>
      <c r="W57" s="20"/>
      <c r="X57" s="20"/>
    </row>
    <row r="58" spans="1:24">
      <c r="A58" s="50"/>
      <c r="B58" s="50"/>
      <c r="C58" s="50"/>
      <c r="D58" s="51"/>
      <c r="F58" s="113"/>
      <c r="G58" s="117"/>
      <c r="H58" s="114"/>
      <c r="I58" s="114"/>
      <c r="J58" s="113"/>
      <c r="K58" s="113"/>
      <c r="L58" s="117"/>
      <c r="M58" s="46"/>
      <c r="N58" s="24"/>
      <c r="O58" s="21"/>
      <c r="P58" s="20"/>
      <c r="S58" s="45"/>
      <c r="T58" s="43"/>
      <c r="U58" s="20"/>
      <c r="V58" s="20"/>
      <c r="W58" s="20"/>
      <c r="X58" s="20"/>
    </row>
    <row r="59" spans="1:24">
      <c r="A59" s="50"/>
      <c r="B59" s="165" t="s">
        <v>165</v>
      </c>
      <c r="C59" s="50"/>
      <c r="D59" s="51"/>
      <c r="F59" s="113"/>
      <c r="G59" s="117"/>
      <c r="H59" s="114"/>
      <c r="I59" s="114"/>
      <c r="J59" s="113"/>
      <c r="K59" s="113"/>
      <c r="L59" s="117"/>
      <c r="M59" s="45"/>
      <c r="N59" s="45"/>
      <c r="O59" s="43"/>
      <c r="P59" s="20"/>
      <c r="T59"/>
    </row>
    <row r="60" spans="1:24">
      <c r="A60" s="50"/>
      <c r="B60" s="50"/>
      <c r="C60" s="50"/>
      <c r="D60" s="51"/>
      <c r="F60" s="113"/>
      <c r="G60" s="117"/>
      <c r="H60" s="114"/>
      <c r="I60" s="114"/>
      <c r="J60" s="113"/>
      <c r="K60" s="113"/>
      <c r="L60" s="117"/>
      <c r="M60" s="20"/>
      <c r="N60" s="46"/>
      <c r="O60" s="43"/>
      <c r="P60" s="20"/>
      <c r="T60"/>
    </row>
    <row r="61" spans="1:24">
      <c r="A61" s="84"/>
      <c r="B61" s="85" t="s">
        <v>71</v>
      </c>
      <c r="C61" s="85" t="s">
        <v>72</v>
      </c>
      <c r="D61" s="86" t="s">
        <v>70</v>
      </c>
      <c r="F61" s="113"/>
      <c r="G61" s="117"/>
      <c r="H61" s="114"/>
      <c r="I61" s="114"/>
      <c r="J61" s="113"/>
      <c r="K61" s="113"/>
      <c r="L61" s="117"/>
      <c r="N61" s="46"/>
      <c r="O61" s="43"/>
      <c r="P61" s="20"/>
      <c r="T61"/>
    </row>
    <row r="62" spans="1:24">
      <c r="A62" s="93">
        <v>1</v>
      </c>
      <c r="B62" s="94">
        <v>550000</v>
      </c>
      <c r="C62" s="50" t="s">
        <v>174</v>
      </c>
      <c r="D62" s="51"/>
      <c r="F62" s="113"/>
      <c r="G62" s="117"/>
      <c r="H62" s="114"/>
      <c r="I62" s="114"/>
      <c r="J62" s="9"/>
      <c r="K62" s="13"/>
      <c r="N62"/>
      <c r="O62" s="46"/>
    </row>
    <row r="63" spans="1:24">
      <c r="A63" s="93">
        <v>2</v>
      </c>
      <c r="B63" s="94">
        <v>550000</v>
      </c>
      <c r="C63" s="50" t="s">
        <v>171</v>
      </c>
      <c r="D63" s="51"/>
      <c r="F63" s="113"/>
      <c r="G63" s="117"/>
      <c r="H63" s="114"/>
      <c r="J63" s="9"/>
      <c r="K63" s="13"/>
      <c r="N63"/>
      <c r="O63" s="46"/>
    </row>
    <row r="64" spans="1:24">
      <c r="A64" s="93">
        <v>3</v>
      </c>
      <c r="B64" s="94">
        <v>800000</v>
      </c>
      <c r="C64" s="50" t="s">
        <v>173</v>
      </c>
      <c r="D64" s="51"/>
      <c r="F64" s="113"/>
      <c r="G64" s="117"/>
      <c r="H64" s="114"/>
      <c r="J64" s="9"/>
      <c r="K64" s="13"/>
      <c r="N64"/>
      <c r="O64" s="46"/>
    </row>
    <row r="65" spans="1:20">
      <c r="A65" s="50">
        <v>4</v>
      </c>
      <c r="B65" s="94">
        <v>600000</v>
      </c>
      <c r="C65" s="50" t="s">
        <v>175</v>
      </c>
      <c r="D65" s="51"/>
      <c r="F65" s="113"/>
      <c r="G65" s="117"/>
      <c r="H65" s="114"/>
      <c r="J65" s="9"/>
      <c r="K65" s="13"/>
      <c r="N65"/>
      <c r="O65" s="46"/>
    </row>
    <row r="66" spans="1:20">
      <c r="A66" s="50">
        <v>5</v>
      </c>
      <c r="B66" s="107">
        <v>-2300000</v>
      </c>
      <c r="C66" s="138" t="s">
        <v>176</v>
      </c>
      <c r="D66" s="51"/>
      <c r="J66" s="9"/>
      <c r="K66" s="13"/>
      <c r="N66"/>
      <c r="O66" s="46"/>
    </row>
    <row r="67" spans="1:20">
      <c r="A67" s="50">
        <v>6</v>
      </c>
      <c r="B67" s="94">
        <v>500000</v>
      </c>
      <c r="C67" s="50" t="s">
        <v>180</v>
      </c>
      <c r="D67" s="51"/>
      <c r="J67" s="9"/>
      <c r="K67" s="13"/>
      <c r="N67"/>
      <c r="O67" s="46"/>
    </row>
    <row r="68" spans="1:20">
      <c r="A68" s="50">
        <v>7</v>
      </c>
      <c r="B68" s="94">
        <v>3672000</v>
      </c>
      <c r="C68" s="50" t="s">
        <v>177</v>
      </c>
      <c r="D68" s="51"/>
      <c r="F68" s="42"/>
      <c r="G68" s="89"/>
      <c r="H68" s="9"/>
      <c r="J68" s="9"/>
      <c r="K68" s="13"/>
      <c r="N68"/>
      <c r="O68" s="46"/>
    </row>
    <row r="69" spans="1:20">
      <c r="A69" s="50">
        <v>8</v>
      </c>
      <c r="B69" s="107">
        <v>-2282146</v>
      </c>
      <c r="C69" s="138" t="s">
        <v>178</v>
      </c>
      <c r="D69" s="51"/>
      <c r="F69" s="42"/>
      <c r="G69" s="89"/>
      <c r="H69" s="9"/>
      <c r="J69" s="9"/>
      <c r="K69" s="13"/>
      <c r="N69"/>
      <c r="O69" s="46"/>
    </row>
    <row r="70" spans="1:20">
      <c r="A70" s="50">
        <v>9</v>
      </c>
      <c r="B70" s="94">
        <v>450000</v>
      </c>
      <c r="C70" s="50" t="s">
        <v>179</v>
      </c>
      <c r="D70" s="51"/>
      <c r="F70" s="42"/>
      <c r="G70" s="89"/>
      <c r="H70" s="9"/>
      <c r="I70" s="13"/>
      <c r="J70" s="9"/>
      <c r="K70" s="13"/>
      <c r="M70" s="43"/>
      <c r="N70" s="46"/>
      <c r="O70" s="43"/>
      <c r="P70" s="20"/>
      <c r="T70"/>
    </row>
    <row r="71" spans="1:20">
      <c r="A71" s="50">
        <v>10</v>
      </c>
      <c r="B71" s="94">
        <v>1000000</v>
      </c>
      <c r="C71" s="50" t="s">
        <v>181</v>
      </c>
      <c r="D71" s="51"/>
      <c r="F71" s="42"/>
      <c r="G71" s="89"/>
      <c r="H71" s="9"/>
      <c r="I71" s="13"/>
      <c r="J71" s="9"/>
      <c r="K71" s="13"/>
      <c r="M71" s="45"/>
      <c r="N71" s="46"/>
      <c r="O71" s="43"/>
      <c r="P71" s="20"/>
      <c r="T71"/>
    </row>
    <row r="72" spans="1:20">
      <c r="A72" s="50">
        <v>11</v>
      </c>
      <c r="B72" s="94"/>
      <c r="C72" s="50"/>
      <c r="D72" s="51"/>
      <c r="I72" s="13"/>
      <c r="J72" s="9"/>
      <c r="K72" s="13"/>
      <c r="M72" s="45"/>
      <c r="N72" s="46"/>
      <c r="O72" s="43"/>
      <c r="P72" s="20"/>
      <c r="T72"/>
    </row>
    <row r="73" spans="1:20">
      <c r="A73" s="50">
        <v>12</v>
      </c>
      <c r="B73" s="107"/>
      <c r="C73" s="50"/>
      <c r="D73" s="51"/>
      <c r="I73" s="13"/>
      <c r="J73" s="13"/>
      <c r="K73" s="13"/>
      <c r="L73" s="45"/>
      <c r="M73" s="45"/>
      <c r="N73" s="46"/>
      <c r="O73" s="43"/>
      <c r="P73" s="20"/>
      <c r="T73"/>
    </row>
    <row r="74" spans="1:20">
      <c r="A74" s="50">
        <v>13</v>
      </c>
      <c r="B74" s="95"/>
      <c r="C74" s="50"/>
      <c r="D74" s="51"/>
      <c r="J74" s="13"/>
      <c r="K74" s="13"/>
      <c r="L74" s="20"/>
      <c r="N74" s="46"/>
      <c r="O74" s="43"/>
      <c r="P74" s="20"/>
      <c r="T74"/>
    </row>
    <row r="75" spans="1:20">
      <c r="A75" s="50">
        <v>14</v>
      </c>
      <c r="B75" s="94"/>
      <c r="C75" s="50"/>
      <c r="D75" s="51"/>
      <c r="J75" s="13"/>
      <c r="K75" s="13"/>
      <c r="L75" s="20"/>
      <c r="N75" s="46"/>
      <c r="O75" s="43"/>
      <c r="P75" s="20"/>
      <c r="T75"/>
    </row>
    <row r="76" spans="1:20">
      <c r="A76" s="50">
        <v>15</v>
      </c>
      <c r="B76" s="95"/>
      <c r="C76" s="50"/>
      <c r="D76" s="51"/>
      <c r="J76" s="13"/>
      <c r="K76" s="13"/>
      <c r="L76" s="20"/>
      <c r="N76" s="46"/>
      <c r="O76" s="43"/>
      <c r="P76" s="20"/>
      <c r="T76"/>
    </row>
    <row r="77" spans="1:20">
      <c r="A77" s="50">
        <v>16</v>
      </c>
      <c r="B77" s="95"/>
      <c r="C77" s="50"/>
      <c r="D77" s="51"/>
      <c r="J77" s="9"/>
      <c r="K77" s="13"/>
      <c r="N77" s="46"/>
      <c r="O77" s="43"/>
      <c r="P77" s="20"/>
      <c r="T77"/>
    </row>
    <row r="78" spans="1:20">
      <c r="A78" s="50">
        <v>17</v>
      </c>
      <c r="B78" s="95"/>
      <c r="C78" s="50"/>
      <c r="D78" s="51"/>
      <c r="J78" s="9"/>
      <c r="K78" s="13"/>
      <c r="N78" s="46"/>
      <c r="O78" s="43"/>
      <c r="P78" s="20"/>
      <c r="T78"/>
    </row>
    <row r="79" spans="1:20">
      <c r="A79" s="50">
        <v>18</v>
      </c>
      <c r="B79" s="95"/>
      <c r="C79" s="50"/>
      <c r="D79" s="51"/>
      <c r="J79" s="9"/>
      <c r="K79" s="13"/>
      <c r="N79" s="46"/>
      <c r="O79" s="43"/>
      <c r="P79" s="20"/>
      <c r="T79"/>
    </row>
    <row r="80" spans="1:20">
      <c r="A80" s="50">
        <v>19</v>
      </c>
      <c r="B80" s="95"/>
      <c r="C80" s="50"/>
      <c r="D80" s="51"/>
      <c r="J80" s="9"/>
      <c r="K80" s="13"/>
      <c r="N80" s="43"/>
      <c r="O80" s="20"/>
      <c r="P80" s="20"/>
      <c r="T80"/>
    </row>
    <row r="81" spans="1:20">
      <c r="A81" s="50">
        <v>20</v>
      </c>
      <c r="B81" s="95"/>
      <c r="C81" s="50"/>
      <c r="D81" s="51"/>
      <c r="J81" s="9"/>
      <c r="K81" s="13"/>
      <c r="N81" s="43"/>
      <c r="O81" s="20"/>
      <c r="P81" s="20"/>
      <c r="R81"/>
      <c r="S81"/>
      <c r="T81"/>
    </row>
    <row r="82" spans="1:20">
      <c r="A82" s="50"/>
      <c r="B82" s="95"/>
      <c r="C82" s="50"/>
      <c r="D82" s="51"/>
      <c r="J82" s="9"/>
      <c r="K82" s="13"/>
      <c r="N82" s="20"/>
      <c r="O82" s="20"/>
      <c r="P82"/>
      <c r="Q82"/>
      <c r="R82"/>
      <c r="S82"/>
      <c r="T82"/>
    </row>
    <row r="83" spans="1:20">
      <c r="A83" s="50"/>
      <c r="B83" s="95"/>
      <c r="C83" s="50"/>
      <c r="D83" s="51"/>
      <c r="J83" s="9"/>
      <c r="K83" s="13"/>
      <c r="N83" s="43"/>
      <c r="O83" s="20"/>
      <c r="P83" s="20"/>
      <c r="S83"/>
      <c r="T83"/>
    </row>
    <row r="84" spans="1:20">
      <c r="A84" s="50"/>
      <c r="B84" s="94"/>
      <c r="C84" s="50"/>
      <c r="D84" s="51"/>
      <c r="J84" s="9"/>
      <c r="K84" s="13"/>
      <c r="N84" s="43"/>
      <c r="O84" s="20"/>
      <c r="P84" s="20"/>
      <c r="S84"/>
      <c r="T84"/>
    </row>
    <row r="85" spans="1:20">
      <c r="A85" s="50"/>
      <c r="B85" s="94"/>
      <c r="C85" s="50"/>
      <c r="D85" s="51"/>
      <c r="J85" s="9"/>
      <c r="K85" s="13"/>
      <c r="N85" s="43"/>
      <c r="O85" s="20"/>
      <c r="P85" s="20"/>
      <c r="S85"/>
      <c r="T85"/>
    </row>
    <row r="86" spans="1:20">
      <c r="A86" s="50"/>
      <c r="B86" s="96"/>
      <c r="C86" s="50"/>
      <c r="D86" s="51"/>
      <c r="J86" s="9"/>
      <c r="K86" s="13"/>
      <c r="N86" s="20"/>
      <c r="O86" s="45"/>
    </row>
    <row r="87" spans="1:20">
      <c r="A87" s="50"/>
      <c r="B87" s="96"/>
      <c r="D87" s="9"/>
      <c r="J87" s="9"/>
      <c r="K87" s="13"/>
      <c r="N87" s="20"/>
      <c r="O87" s="45"/>
    </row>
    <row r="88" spans="1:20" ht="19.5" thickBot="1">
      <c r="B88" s="97">
        <f>SUM(B62:B87)</f>
        <v>3539854</v>
      </c>
      <c r="J88" s="9"/>
      <c r="K88" s="13"/>
      <c r="N88" s="20"/>
      <c r="O88" s="45"/>
    </row>
    <row r="89" spans="1:20">
      <c r="J89" s="9"/>
      <c r="K89" s="13"/>
      <c r="N89" s="20"/>
      <c r="O89" s="45"/>
    </row>
    <row r="90" spans="1:20">
      <c r="J90" s="9"/>
      <c r="K90" s="13"/>
      <c r="N90" s="20"/>
      <c r="O90" s="45"/>
    </row>
    <row r="91" spans="1:20">
      <c r="J91" s="9"/>
      <c r="K91" s="13"/>
      <c r="N91" s="20"/>
      <c r="O91" s="45"/>
    </row>
    <row r="92" spans="1:20">
      <c r="J92" s="9"/>
      <c r="K92" s="13"/>
      <c r="N92" s="20"/>
      <c r="O92" s="45"/>
    </row>
    <row r="93" spans="1:20">
      <c r="J93" s="9"/>
      <c r="K93" s="13"/>
      <c r="N93" s="20"/>
      <c r="O93" s="45"/>
    </row>
    <row r="94" spans="1:20">
      <c r="J94" s="9"/>
      <c r="K94" s="13"/>
      <c r="N94" s="20"/>
      <c r="O94" s="45"/>
    </row>
    <row r="95" spans="1:20">
      <c r="J95" s="9"/>
      <c r="K95" s="13"/>
      <c r="N95" s="20"/>
      <c r="O95" s="45"/>
    </row>
    <row r="96" spans="1:20">
      <c r="J96" s="9"/>
      <c r="K96" s="13"/>
      <c r="N96" s="20"/>
      <c r="O96" s="45"/>
    </row>
    <row r="97" spans="10:15">
      <c r="J97" s="9"/>
      <c r="K97" s="13"/>
      <c r="N97" s="20"/>
      <c r="O97" s="45"/>
    </row>
    <row r="98" spans="10:15">
      <c r="J98" s="9"/>
      <c r="K98" s="13"/>
      <c r="N98" s="20"/>
      <c r="O98" s="45"/>
    </row>
    <row r="99" spans="10:15">
      <c r="J99" s="9"/>
      <c r="K99" s="13"/>
      <c r="N99" s="20"/>
      <c r="O99" s="45"/>
    </row>
    <row r="100" spans="10:15">
      <c r="J100" s="9"/>
      <c r="K100" s="13"/>
      <c r="N100" s="20"/>
      <c r="O100" s="45"/>
    </row>
    <row r="101" spans="10:15">
      <c r="J101" s="9"/>
      <c r="K101" s="13"/>
      <c r="N101" s="20"/>
      <c r="O101" s="45"/>
    </row>
    <row r="102" spans="10:15">
      <c r="J102" s="9"/>
      <c r="K102" s="13"/>
      <c r="N102" s="20"/>
      <c r="O102" s="45"/>
    </row>
    <row r="103" spans="10:15">
      <c r="J103" s="9"/>
      <c r="K103" s="13"/>
      <c r="N103" s="20"/>
      <c r="O103" s="45"/>
    </row>
    <row r="104" spans="10:15">
      <c r="J104" s="9"/>
      <c r="K104" s="13"/>
      <c r="N104" s="20"/>
      <c r="O104" s="45"/>
    </row>
    <row r="105" spans="10:15">
      <c r="J105" s="9"/>
      <c r="K105" s="13"/>
      <c r="N105" s="20"/>
      <c r="O105" s="45"/>
    </row>
    <row r="106" spans="10:15">
      <c r="J106" s="9"/>
      <c r="K106" s="13"/>
      <c r="N106" s="20"/>
      <c r="O106" s="45"/>
    </row>
    <row r="107" spans="10:15">
      <c r="J107" s="9"/>
      <c r="K107" s="13"/>
      <c r="N107" s="20"/>
      <c r="O107" s="45"/>
    </row>
    <row r="108" spans="10:15">
      <c r="J108" s="9"/>
      <c r="K108" s="13"/>
      <c r="N108" s="20"/>
      <c r="O108" s="45"/>
    </row>
    <row r="109" spans="10:15">
      <c r="J109" s="9"/>
      <c r="K109" s="13"/>
      <c r="N109" s="20"/>
      <c r="O109" s="45"/>
    </row>
    <row r="110" spans="10:15">
      <c r="J110" s="9"/>
      <c r="K110" s="13"/>
      <c r="N110" s="20"/>
      <c r="O110" s="45"/>
    </row>
    <row r="111" spans="10:15">
      <c r="J111" s="9"/>
      <c r="K111" s="13"/>
      <c r="N111" s="20"/>
      <c r="O111" s="45"/>
    </row>
    <row r="112" spans="10:15">
      <c r="J112" s="9"/>
      <c r="K112" s="13"/>
      <c r="N112" s="20"/>
      <c r="O112" s="45"/>
    </row>
    <row r="113" spans="10:15">
      <c r="J113" s="9"/>
      <c r="K113" s="13"/>
      <c r="N113" s="20"/>
      <c r="O113" s="45"/>
    </row>
    <row r="114" spans="10:15">
      <c r="J114" s="9"/>
      <c r="K114" s="13"/>
      <c r="N114" s="20"/>
      <c r="O114" s="45"/>
    </row>
    <row r="115" spans="10:15">
      <c r="J115" s="9"/>
      <c r="K115" s="13"/>
      <c r="N115" s="20"/>
      <c r="O115" s="45"/>
    </row>
    <row r="116" spans="10:15">
      <c r="J116" s="9"/>
      <c r="K116" s="13"/>
      <c r="N116" s="20"/>
      <c r="O116" s="45"/>
    </row>
    <row r="117" spans="10:15">
      <c r="J117" s="9"/>
      <c r="K117" s="13"/>
      <c r="N117" s="20"/>
      <c r="O117" s="45"/>
    </row>
    <row r="118" spans="10:15">
      <c r="J118" s="9"/>
      <c r="K118" s="13"/>
      <c r="N118" s="20"/>
      <c r="O118" s="45"/>
    </row>
    <row r="119" spans="10:15">
      <c r="J119" s="9"/>
      <c r="K119" s="13"/>
      <c r="N119" s="20"/>
      <c r="O119" s="45"/>
    </row>
    <row r="120" spans="10:15">
      <c r="J120" s="9"/>
      <c r="K120" s="13"/>
      <c r="N120" s="20"/>
      <c r="O120" s="45"/>
    </row>
    <row r="121" spans="10:15">
      <c r="J121" s="9"/>
      <c r="K121" s="13"/>
      <c r="N121" s="20"/>
      <c r="O121" s="45"/>
    </row>
    <row r="122" spans="10:15">
      <c r="J122" s="9"/>
      <c r="K122" s="13"/>
      <c r="N122" s="20"/>
      <c r="O122" s="45"/>
    </row>
    <row r="123" spans="10:15">
      <c r="J123" s="9"/>
      <c r="K123" s="13"/>
      <c r="N123" s="20"/>
      <c r="O123" s="45"/>
    </row>
    <row r="124" spans="10:15">
      <c r="J124" s="9"/>
      <c r="K124" s="13"/>
      <c r="N124" s="20"/>
      <c r="O124" s="45"/>
    </row>
    <row r="125" spans="10:15">
      <c r="J125" s="9"/>
      <c r="K125" s="13"/>
      <c r="N125" s="20"/>
      <c r="O125" s="45"/>
    </row>
    <row r="126" spans="10:15">
      <c r="J126" s="9"/>
      <c r="K126" s="13"/>
      <c r="N126" s="20"/>
      <c r="O126" s="45"/>
    </row>
    <row r="127" spans="10:15">
      <c r="J127" s="9"/>
      <c r="K127" s="13"/>
      <c r="N127" s="20"/>
      <c r="O127" s="45"/>
    </row>
    <row r="128" spans="10:15">
      <c r="J128" s="9"/>
      <c r="K128" s="13"/>
      <c r="N128" s="20"/>
      <c r="O128" s="45"/>
    </row>
    <row r="129" spans="10:15">
      <c r="J129" s="9"/>
      <c r="K129" s="13"/>
      <c r="N129" s="20"/>
      <c r="O129" s="45"/>
    </row>
    <row r="130" spans="10:15">
      <c r="J130" s="9"/>
      <c r="K130" s="13"/>
      <c r="N130" s="20"/>
      <c r="O130" s="45"/>
    </row>
    <row r="131" spans="10:15">
      <c r="J131" s="9"/>
      <c r="K131" s="13"/>
      <c r="N131" s="20"/>
      <c r="O131" s="45"/>
    </row>
    <row r="132" spans="10:15">
      <c r="J132" s="9"/>
      <c r="K132" s="13"/>
      <c r="N132" s="20"/>
      <c r="O132" s="45"/>
    </row>
    <row r="133" spans="10:15">
      <c r="J133" s="9"/>
      <c r="K133" s="13"/>
      <c r="N133" s="20"/>
      <c r="O133" s="45"/>
    </row>
    <row r="134" spans="10:15">
      <c r="J134" s="9"/>
      <c r="K134" s="13"/>
      <c r="N134" s="20"/>
      <c r="O134" s="45"/>
    </row>
    <row r="135" spans="10:15">
      <c r="J135" s="9"/>
      <c r="K135" s="13"/>
      <c r="N135" s="20"/>
      <c r="O135" s="45"/>
    </row>
    <row r="136" spans="10:15">
      <c r="J136" s="9"/>
      <c r="K136" s="13"/>
      <c r="N136" s="20"/>
      <c r="O136" s="45"/>
    </row>
    <row r="137" spans="10:15">
      <c r="J137" s="9"/>
      <c r="K137" s="13"/>
      <c r="N137" s="20"/>
      <c r="O137" s="45"/>
    </row>
    <row r="138" spans="10:15">
      <c r="J138" s="9"/>
      <c r="K138" s="13"/>
      <c r="N138" s="20"/>
      <c r="O138" s="45"/>
    </row>
    <row r="139" spans="10:15">
      <c r="J139" s="9"/>
      <c r="K139" s="13"/>
      <c r="N139" s="20"/>
      <c r="O139" s="45"/>
    </row>
    <row r="140" spans="10:15">
      <c r="J140" s="9"/>
      <c r="K140" s="13"/>
      <c r="N140" s="20"/>
      <c r="O140" s="45"/>
    </row>
    <row r="141" spans="10:15">
      <c r="J141" s="9"/>
      <c r="K141" s="13"/>
      <c r="N141" s="20"/>
      <c r="O141" s="45"/>
    </row>
    <row r="142" spans="10:15">
      <c r="J142" s="9"/>
      <c r="K142" s="13"/>
      <c r="N142" s="20"/>
      <c r="O142" s="45"/>
    </row>
    <row r="143" spans="10:15">
      <c r="J143" s="9"/>
      <c r="K143" s="13"/>
      <c r="N143" s="20"/>
      <c r="O143" s="45"/>
    </row>
    <row r="144" spans="10:15">
      <c r="J144" s="9"/>
      <c r="K144" s="13"/>
      <c r="N144" s="20"/>
      <c r="O144" s="45"/>
    </row>
    <row r="145" spans="10:15">
      <c r="J145" s="9"/>
      <c r="K145" s="13"/>
      <c r="N145" s="20"/>
      <c r="O145" s="45"/>
    </row>
    <row r="146" spans="10:15">
      <c r="J146" s="9"/>
      <c r="K146" s="13"/>
      <c r="N146" s="20"/>
      <c r="O146" s="45"/>
    </row>
    <row r="147" spans="10:15">
      <c r="J147" s="9"/>
      <c r="K147" s="13"/>
      <c r="N147" s="20"/>
      <c r="O147" s="45"/>
    </row>
    <row r="148" spans="10:15">
      <c r="J148" s="9"/>
      <c r="K148" s="13"/>
      <c r="N148" s="20"/>
      <c r="O148" s="45"/>
    </row>
    <row r="149" spans="10:15">
      <c r="J149" s="9"/>
      <c r="K149" s="13"/>
      <c r="N149" s="20"/>
      <c r="O149" s="45"/>
    </row>
    <row r="150" spans="10:15">
      <c r="J150" s="9"/>
      <c r="K150" s="13"/>
      <c r="N150" s="20"/>
      <c r="O150" s="45"/>
    </row>
    <row r="151" spans="10:15">
      <c r="J151" s="9"/>
      <c r="K151" s="13"/>
      <c r="N151" s="20"/>
      <c r="O151" s="45"/>
    </row>
    <row r="152" spans="10:15">
      <c r="J152" s="9"/>
      <c r="K152" s="13"/>
      <c r="N152" s="20"/>
      <c r="O152" s="45"/>
    </row>
    <row r="153" spans="10:15">
      <c r="J153" s="9"/>
      <c r="K153" s="13"/>
      <c r="N153" s="20"/>
      <c r="O153" s="45"/>
    </row>
    <row r="154" spans="10:15">
      <c r="J154" s="9"/>
      <c r="K154" s="13"/>
      <c r="N154" s="20"/>
      <c r="O154" s="45"/>
    </row>
    <row r="155" spans="10:15">
      <c r="J155" s="9"/>
      <c r="K155" s="13"/>
      <c r="N155" s="20"/>
      <c r="O155" s="45"/>
    </row>
    <row r="156" spans="10:15">
      <c r="J156" s="9"/>
      <c r="K156" s="13"/>
      <c r="N156" s="20"/>
      <c r="O156" s="45"/>
    </row>
    <row r="157" spans="10:15">
      <c r="J157" s="9"/>
      <c r="K157" s="13"/>
      <c r="N157" s="20"/>
      <c r="O157" s="45"/>
    </row>
    <row r="158" spans="10:15">
      <c r="J158" s="9"/>
      <c r="K158" s="13"/>
      <c r="N158" s="20"/>
      <c r="O158" s="45"/>
    </row>
    <row r="159" spans="10:15">
      <c r="J159" s="9"/>
      <c r="K159" s="13"/>
      <c r="N159" s="20"/>
      <c r="O159" s="45"/>
    </row>
    <row r="160" spans="10:15">
      <c r="J160" s="9"/>
      <c r="K160" s="13"/>
      <c r="N160" s="20"/>
      <c r="O160" s="45"/>
    </row>
    <row r="161" spans="10:15">
      <c r="J161" s="9"/>
      <c r="K161" s="13"/>
      <c r="N161" s="20"/>
      <c r="O161" s="45"/>
    </row>
    <row r="162" spans="10:15">
      <c r="J162" s="9"/>
      <c r="K162" s="13"/>
      <c r="N162" s="20"/>
      <c r="O162" s="45"/>
    </row>
    <row r="163" spans="10:15">
      <c r="J163" s="9"/>
      <c r="K163" s="13"/>
      <c r="N163" s="20"/>
      <c r="O163" s="45"/>
    </row>
    <row r="164" spans="10:15">
      <c r="J164" s="9"/>
      <c r="K164" s="13"/>
      <c r="N164" s="20"/>
      <c r="O164" s="45"/>
    </row>
    <row r="165" spans="10:15">
      <c r="J165" s="9"/>
      <c r="K165" s="13"/>
      <c r="N165" s="20"/>
      <c r="O165" s="45"/>
    </row>
    <row r="166" spans="10:15">
      <c r="J166" s="9"/>
      <c r="K166" s="13"/>
      <c r="N166" s="20"/>
      <c r="O166" s="45"/>
    </row>
    <row r="167" spans="10:15">
      <c r="J167" s="9"/>
      <c r="K167" s="13"/>
      <c r="N167" s="20"/>
      <c r="O167" s="45"/>
    </row>
    <row r="168" spans="10:15">
      <c r="J168" s="9"/>
      <c r="K168" s="13"/>
      <c r="N168" s="20"/>
      <c r="O168" s="45"/>
    </row>
    <row r="169" spans="10:15">
      <c r="J169" s="9"/>
      <c r="K169" s="13"/>
      <c r="N169" s="20"/>
      <c r="O169" s="45"/>
    </row>
    <row r="170" spans="10:15">
      <c r="J170" s="9"/>
      <c r="K170" s="13"/>
      <c r="N170" s="20"/>
      <c r="O170" s="45"/>
    </row>
    <row r="171" spans="10:15">
      <c r="J171" s="9"/>
      <c r="K171" s="13"/>
      <c r="N171" s="20"/>
      <c r="O171" s="45"/>
    </row>
    <row r="172" spans="10:15">
      <c r="J172" s="9"/>
      <c r="K172" s="13"/>
      <c r="N172" s="20"/>
      <c r="O172" s="45"/>
    </row>
    <row r="173" spans="10:15">
      <c r="J173" s="9"/>
      <c r="K173" s="13"/>
      <c r="N173" s="20"/>
      <c r="O173" s="45"/>
    </row>
    <row r="174" spans="10:15">
      <c r="J174" s="9"/>
      <c r="K174" s="13"/>
      <c r="N174" s="20"/>
      <c r="O174" s="45"/>
    </row>
    <row r="175" spans="10:15">
      <c r="J175" s="9"/>
      <c r="K175" s="13"/>
      <c r="N175" s="20"/>
      <c r="O175" s="45"/>
    </row>
    <row r="176" spans="10:15">
      <c r="J176" s="9"/>
      <c r="K176" s="13"/>
      <c r="N176" s="20"/>
      <c r="O176" s="45"/>
    </row>
    <row r="177" spans="10:15">
      <c r="J177" s="9"/>
      <c r="K177" s="13"/>
      <c r="N177" s="20"/>
      <c r="O177" s="45"/>
    </row>
    <row r="178" spans="10:15">
      <c r="J178" s="9"/>
      <c r="K178" s="13"/>
      <c r="N178" s="20"/>
      <c r="O178" s="45"/>
    </row>
    <row r="179" spans="10:15">
      <c r="J179" s="9"/>
      <c r="K179" s="13"/>
      <c r="N179" s="20"/>
      <c r="O179" s="45"/>
    </row>
    <row r="180" spans="10:15">
      <c r="J180" s="9"/>
      <c r="K180" s="13"/>
      <c r="N180" s="20"/>
      <c r="O180" s="45"/>
    </row>
    <row r="181" spans="10:15">
      <c r="J181" s="9"/>
      <c r="K181" s="13"/>
      <c r="N181" s="20"/>
      <c r="O181" s="45"/>
    </row>
    <row r="182" spans="10:15">
      <c r="J182" s="9"/>
      <c r="K182" s="13"/>
      <c r="N182" s="20"/>
      <c r="O182" s="45"/>
    </row>
    <row r="183" spans="10:15">
      <c r="J183" s="9"/>
      <c r="K183" s="13"/>
      <c r="N183" s="20"/>
      <c r="O183" s="45"/>
    </row>
    <row r="184" spans="10:15">
      <c r="J184" s="9"/>
      <c r="K184" s="13"/>
      <c r="N184" s="20"/>
      <c r="O184" s="45"/>
    </row>
    <row r="185" spans="10:15">
      <c r="J185" s="9"/>
      <c r="K185" s="13"/>
      <c r="N185" s="20"/>
      <c r="O185" s="45"/>
    </row>
    <row r="186" spans="10:15">
      <c r="J186" s="9"/>
      <c r="K186" s="13"/>
      <c r="N186" s="20"/>
      <c r="O186" s="45"/>
    </row>
    <row r="187" spans="10:15">
      <c r="J187" s="9"/>
      <c r="K187" s="13"/>
      <c r="N187" s="20"/>
      <c r="O187" s="45"/>
    </row>
    <row r="188" spans="10:15">
      <c r="J188" s="9"/>
      <c r="K188" s="13"/>
      <c r="N188" s="20"/>
      <c r="O188" s="45"/>
    </row>
    <row r="189" spans="10:15">
      <c r="J189" s="9"/>
      <c r="K189" s="13"/>
      <c r="N189" s="20"/>
      <c r="O189" s="45"/>
    </row>
    <row r="190" spans="10:15">
      <c r="J190" s="9"/>
      <c r="K190" s="13"/>
      <c r="N190" s="20"/>
      <c r="O190" s="45"/>
    </row>
    <row r="191" spans="10:15">
      <c r="J191" s="9"/>
      <c r="K191" s="13"/>
      <c r="N191" s="20"/>
      <c r="O191" s="45"/>
    </row>
    <row r="192" spans="10:15">
      <c r="J192" s="9"/>
      <c r="K192" s="13"/>
      <c r="N192" s="20"/>
      <c r="O192" s="45"/>
    </row>
    <row r="193" spans="10:15">
      <c r="J193" s="9"/>
      <c r="K193" s="13"/>
      <c r="N193" s="20"/>
      <c r="O193" s="45"/>
    </row>
    <row r="194" spans="10:15">
      <c r="J194" s="9"/>
      <c r="K194" s="13"/>
      <c r="N194" s="20"/>
      <c r="O194" s="45"/>
    </row>
    <row r="195" spans="10:15">
      <c r="J195" s="9"/>
      <c r="K195" s="13"/>
      <c r="N195" s="20"/>
      <c r="O195" s="45"/>
    </row>
    <row r="196" spans="10:15">
      <c r="J196" s="9"/>
      <c r="K196" s="13"/>
      <c r="N196" s="20"/>
      <c r="O196" s="45"/>
    </row>
    <row r="197" spans="10:15">
      <c r="J197" s="9"/>
      <c r="K197" s="13"/>
      <c r="N197" s="20"/>
      <c r="O197" s="45"/>
    </row>
    <row r="198" spans="10:15">
      <c r="J198" s="9"/>
      <c r="K198" s="13"/>
      <c r="N198" s="20"/>
      <c r="O198" s="45"/>
    </row>
    <row r="199" spans="10:15">
      <c r="J199" s="9"/>
      <c r="K199" s="13"/>
      <c r="N199" s="20"/>
      <c r="O199" s="45"/>
    </row>
    <row r="200" spans="10:15">
      <c r="J200" s="9"/>
      <c r="K200" s="13"/>
      <c r="N200" s="20"/>
      <c r="O200" s="45"/>
    </row>
    <row r="201" spans="10:15">
      <c r="J201" s="9"/>
      <c r="K201" s="13"/>
      <c r="N201" s="20"/>
      <c r="O201" s="45"/>
    </row>
    <row r="202" spans="10:15">
      <c r="J202" s="9"/>
      <c r="K202" s="13"/>
      <c r="N202" s="20"/>
      <c r="O202" s="45"/>
    </row>
    <row r="203" spans="10:15">
      <c r="J203" s="9"/>
      <c r="K203" s="13"/>
      <c r="N203" s="20"/>
      <c r="O203" s="45"/>
    </row>
    <row r="204" spans="10:15">
      <c r="J204" s="9"/>
      <c r="K204" s="13"/>
      <c r="N204" s="20"/>
      <c r="O204" s="45"/>
    </row>
    <row r="205" spans="10:15">
      <c r="J205" s="9"/>
      <c r="K205" s="13"/>
      <c r="N205" s="20"/>
      <c r="O205" s="45"/>
    </row>
    <row r="206" spans="10:15">
      <c r="J206" s="9"/>
      <c r="K206" s="13"/>
      <c r="N206" s="20"/>
      <c r="O206" s="45"/>
    </row>
    <row r="207" spans="10:15">
      <c r="J207" s="9"/>
      <c r="K207" s="13"/>
      <c r="N207" s="20"/>
      <c r="O207" s="45"/>
    </row>
    <row r="208" spans="10:15">
      <c r="J208" s="9"/>
      <c r="K208" s="13"/>
      <c r="N208" s="20"/>
      <c r="O208" s="45"/>
    </row>
    <row r="209" spans="10:15">
      <c r="J209" s="9"/>
      <c r="K209" s="13"/>
      <c r="N209" s="20"/>
      <c r="O209" s="45"/>
    </row>
    <row r="210" spans="10:15">
      <c r="J210" s="9"/>
      <c r="K210" s="13"/>
      <c r="N210" s="20"/>
      <c r="O210" s="45"/>
    </row>
    <row r="211" spans="10:15">
      <c r="J211" s="9"/>
      <c r="K211" s="13"/>
      <c r="N211" s="20"/>
      <c r="O211" s="45"/>
    </row>
    <row r="212" spans="10:15">
      <c r="J212" s="9"/>
      <c r="K212" s="13"/>
      <c r="N212" s="20"/>
      <c r="O212" s="45"/>
    </row>
    <row r="213" spans="10:15">
      <c r="J213" s="9"/>
      <c r="K213" s="13"/>
      <c r="N213" s="20"/>
      <c r="O213" s="45"/>
    </row>
    <row r="214" spans="10:15">
      <c r="J214" s="9"/>
      <c r="K214" s="13"/>
      <c r="N214" s="20"/>
      <c r="O214" s="45"/>
    </row>
    <row r="215" spans="10:15">
      <c r="J215" s="9"/>
      <c r="K215" s="13"/>
      <c r="N215" s="20"/>
      <c r="O215" s="45"/>
    </row>
    <row r="216" spans="10:15">
      <c r="J216" s="9"/>
      <c r="K216" s="13"/>
      <c r="N216" s="20"/>
      <c r="O216" s="45"/>
    </row>
    <row r="217" spans="10:15">
      <c r="J217" s="9"/>
      <c r="K217" s="13"/>
      <c r="N217" s="20"/>
      <c r="O217" s="45"/>
    </row>
    <row r="218" spans="10:15">
      <c r="J218" s="9"/>
      <c r="K218" s="13"/>
      <c r="N218" s="20"/>
      <c r="O218" s="45"/>
    </row>
    <row r="219" spans="10:15">
      <c r="J219" s="9"/>
      <c r="K219" s="13"/>
      <c r="N219" s="20"/>
      <c r="O219" s="45"/>
    </row>
    <row r="220" spans="10:15">
      <c r="J220" s="9"/>
      <c r="K220" s="13"/>
      <c r="N220" s="20"/>
      <c r="O220" s="45"/>
    </row>
    <row r="221" spans="10:15">
      <c r="J221" s="9"/>
      <c r="K221" s="13"/>
      <c r="N221" s="20"/>
      <c r="O221" s="45"/>
    </row>
    <row r="222" spans="10:15">
      <c r="J222" s="9"/>
      <c r="K222" s="13"/>
      <c r="N222" s="20"/>
      <c r="O222" s="45"/>
    </row>
    <row r="223" spans="10:15">
      <c r="J223" s="9"/>
      <c r="K223" s="13"/>
      <c r="N223" s="20"/>
      <c r="O223" s="45"/>
    </row>
    <row r="224" spans="10:15">
      <c r="J224" s="9"/>
      <c r="K224" s="13"/>
      <c r="N224" s="20"/>
      <c r="O224" s="45"/>
    </row>
    <row r="225" spans="10:15">
      <c r="J225" s="9"/>
      <c r="K225" s="13"/>
      <c r="N225" s="20"/>
      <c r="O225" s="45"/>
    </row>
    <row r="226" spans="10:15">
      <c r="J226" s="9"/>
      <c r="K226" s="13"/>
      <c r="N226" s="20"/>
      <c r="O226" s="45"/>
    </row>
    <row r="227" spans="10:15">
      <c r="J227" s="9"/>
      <c r="K227" s="13"/>
      <c r="N227" s="20"/>
      <c r="O227" s="45"/>
    </row>
    <row r="228" spans="10:15">
      <c r="J228" s="9"/>
      <c r="K228" s="13"/>
      <c r="N228" s="20"/>
      <c r="O228" s="45"/>
    </row>
    <row r="229" spans="10:15">
      <c r="J229" s="9"/>
      <c r="K229" s="13"/>
      <c r="N229" s="20"/>
      <c r="O229" s="45"/>
    </row>
    <row r="230" spans="10:15">
      <c r="J230" s="9"/>
      <c r="K230" s="13"/>
      <c r="N230" s="20"/>
      <c r="O230" s="45"/>
    </row>
    <row r="231" spans="10:15">
      <c r="J231" s="9"/>
      <c r="K231" s="13"/>
      <c r="N231" s="20"/>
      <c r="O231" s="45"/>
    </row>
    <row r="232" spans="10:15">
      <c r="J232" s="9"/>
      <c r="K232" s="13"/>
      <c r="N232" s="20"/>
      <c r="O232" s="45"/>
    </row>
    <row r="233" spans="10:15">
      <c r="J233" s="9"/>
      <c r="K233" s="13"/>
      <c r="N233" s="20"/>
      <c r="O233" s="45"/>
    </row>
    <row r="234" spans="10:15">
      <c r="J234" s="9"/>
      <c r="K234" s="13"/>
      <c r="N234" s="20"/>
      <c r="O234" s="45"/>
    </row>
    <row r="235" spans="10:15">
      <c r="J235" s="9"/>
      <c r="K235" s="13"/>
      <c r="N235" s="20"/>
      <c r="O235" s="45"/>
    </row>
    <row r="236" spans="10:15">
      <c r="J236" s="9"/>
      <c r="K236" s="13"/>
      <c r="N236" s="20"/>
      <c r="O236" s="45"/>
    </row>
    <row r="237" spans="10:15">
      <c r="J237" s="9"/>
      <c r="K237" s="13"/>
      <c r="N237" s="20"/>
      <c r="O237" s="45"/>
    </row>
    <row r="238" spans="10:15">
      <c r="J238" s="9"/>
      <c r="K238" s="13"/>
      <c r="N238" s="20"/>
      <c r="O238" s="45"/>
    </row>
    <row r="239" spans="10:15">
      <c r="J239" s="9"/>
      <c r="K239" s="13"/>
      <c r="N239" s="20"/>
      <c r="O239" s="45"/>
    </row>
    <row r="240" spans="10:15">
      <c r="J240" s="9"/>
      <c r="K240" s="13"/>
      <c r="N240" s="20"/>
      <c r="O240" s="45"/>
    </row>
    <row r="241" spans="10:15">
      <c r="J241" s="9"/>
      <c r="K241" s="13"/>
      <c r="N241" s="20"/>
      <c r="O241" s="45"/>
    </row>
    <row r="242" spans="10:15">
      <c r="J242" s="9"/>
      <c r="K242" s="13"/>
      <c r="N242" s="20"/>
      <c r="O242" s="45"/>
    </row>
    <row r="243" spans="10:15">
      <c r="J243" s="9"/>
      <c r="K243" s="13"/>
      <c r="N243" s="20"/>
      <c r="O243" s="45"/>
    </row>
    <row r="244" spans="10:15">
      <c r="J244" s="9"/>
      <c r="K244" s="13"/>
      <c r="N244" s="20"/>
      <c r="O244" s="45"/>
    </row>
    <row r="245" spans="10:15">
      <c r="J245" s="9"/>
      <c r="K245" s="13"/>
      <c r="N245" s="20"/>
      <c r="O245" s="45"/>
    </row>
    <row r="246" spans="10:15">
      <c r="J246" s="9"/>
      <c r="K246" s="13"/>
      <c r="N246" s="20"/>
      <c r="O246" s="45"/>
    </row>
    <row r="247" spans="10:15">
      <c r="J247" s="9"/>
      <c r="K247" s="13"/>
      <c r="N247" s="20"/>
      <c r="O247" s="45"/>
    </row>
    <row r="248" spans="10:15">
      <c r="J248" s="9"/>
      <c r="K248" s="13"/>
      <c r="N248" s="20"/>
      <c r="O248" s="45"/>
    </row>
    <row r="249" spans="10:15">
      <c r="J249" s="9"/>
      <c r="K249" s="13"/>
      <c r="N249" s="20"/>
      <c r="O249" s="45"/>
    </row>
    <row r="250" spans="10:15">
      <c r="J250" s="9"/>
      <c r="K250" s="13"/>
      <c r="N250" s="20"/>
      <c r="O250" s="45"/>
    </row>
    <row r="251" spans="10:15">
      <c r="J251" s="9"/>
      <c r="K251" s="13"/>
      <c r="N251" s="20"/>
      <c r="O251" s="45"/>
    </row>
    <row r="252" spans="10:15">
      <c r="J252" s="9"/>
      <c r="K252" s="13"/>
      <c r="N252" s="20"/>
      <c r="O252" s="45"/>
    </row>
    <row r="253" spans="10:15">
      <c r="J253" s="9"/>
      <c r="K253" s="13"/>
      <c r="N253" s="20"/>
      <c r="O253" s="45"/>
    </row>
    <row r="254" spans="10:15">
      <c r="J254" s="9"/>
      <c r="K254" s="13"/>
      <c r="N254" s="20"/>
      <c r="O254" s="45"/>
    </row>
    <row r="255" spans="10:15">
      <c r="J255" s="9"/>
      <c r="K255" s="13"/>
      <c r="N255" s="20"/>
      <c r="O255" s="45"/>
    </row>
    <row r="256" spans="10:15">
      <c r="J256" s="9"/>
      <c r="K256" s="13"/>
      <c r="N256" s="20"/>
      <c r="O256" s="45"/>
    </row>
    <row r="257" spans="10:15">
      <c r="J257" s="9"/>
      <c r="K257" s="13"/>
      <c r="N257" s="20"/>
      <c r="O257" s="45"/>
    </row>
    <row r="258" spans="10:15">
      <c r="J258" s="9"/>
      <c r="K258" s="13"/>
      <c r="N258" s="20"/>
      <c r="O258" s="45"/>
    </row>
    <row r="259" spans="10:15">
      <c r="J259" s="9"/>
      <c r="K259" s="13"/>
      <c r="N259" s="20"/>
      <c r="O259" s="45"/>
    </row>
    <row r="260" spans="10:15">
      <c r="J260" s="9"/>
      <c r="K260" s="13"/>
      <c r="N260" s="20"/>
      <c r="O260" s="45"/>
    </row>
    <row r="261" spans="10:15">
      <c r="J261" s="9"/>
      <c r="K261" s="13"/>
      <c r="N261" s="20"/>
      <c r="O261" s="45"/>
    </row>
    <row r="262" spans="10:15">
      <c r="J262" s="9"/>
      <c r="K262" s="13"/>
      <c r="N262" s="20"/>
      <c r="O262" s="45"/>
    </row>
    <row r="263" spans="10:15">
      <c r="J263" s="9"/>
      <c r="K263" s="13"/>
      <c r="N263" s="20"/>
      <c r="O263" s="45"/>
    </row>
    <row r="264" spans="10:15">
      <c r="J264" s="9"/>
      <c r="K264" s="13"/>
      <c r="N264" s="20"/>
      <c r="O264" s="45"/>
    </row>
    <row r="265" spans="10:15">
      <c r="J265" s="9"/>
      <c r="K265" s="13"/>
      <c r="N265" s="20"/>
      <c r="O265" s="45"/>
    </row>
    <row r="266" spans="10:15">
      <c r="J266" s="9"/>
      <c r="K266" s="13"/>
      <c r="N266" s="20"/>
      <c r="O266" s="45"/>
    </row>
    <row r="267" spans="10:15">
      <c r="J267" s="9"/>
      <c r="K267" s="13"/>
      <c r="N267" s="20"/>
      <c r="O267" s="45"/>
    </row>
    <row r="268" spans="10:15">
      <c r="J268" s="9"/>
      <c r="K268" s="13"/>
      <c r="N268" s="20"/>
      <c r="O268" s="45"/>
    </row>
    <row r="269" spans="10:15">
      <c r="J269" s="9"/>
      <c r="K269" s="13"/>
      <c r="N269" s="20"/>
      <c r="O269" s="45"/>
    </row>
    <row r="270" spans="10:15">
      <c r="J270" s="9"/>
      <c r="K270" s="13"/>
      <c r="N270" s="20"/>
      <c r="O270" s="45"/>
    </row>
    <row r="271" spans="10:15">
      <c r="J271" s="9"/>
      <c r="K271" s="13"/>
      <c r="N271" s="20"/>
      <c r="O271" s="45"/>
    </row>
    <row r="272" spans="10:15">
      <c r="J272" s="9"/>
      <c r="K272" s="13"/>
      <c r="N272" s="20"/>
      <c r="O272" s="45"/>
    </row>
    <row r="273" spans="10:15">
      <c r="J273" s="9"/>
      <c r="K273" s="13"/>
      <c r="N273" s="20"/>
      <c r="O273" s="45"/>
    </row>
    <row r="274" spans="10:15">
      <c r="J274" s="9"/>
      <c r="K274" s="13"/>
      <c r="N274" s="20"/>
      <c r="O274" s="45"/>
    </row>
    <row r="275" spans="10:15">
      <c r="J275" s="9"/>
      <c r="K275" s="13"/>
      <c r="N275" s="20"/>
      <c r="O275" s="45"/>
    </row>
    <row r="276" spans="10:15">
      <c r="J276" s="9"/>
      <c r="K276" s="13"/>
      <c r="N276" s="20"/>
      <c r="O276" s="45"/>
    </row>
    <row r="277" spans="10:15">
      <c r="J277" s="9"/>
      <c r="K277" s="13"/>
      <c r="N277" s="20"/>
      <c r="O277" s="45"/>
    </row>
    <row r="278" spans="10:15">
      <c r="J278" s="9"/>
      <c r="K278" s="13"/>
      <c r="N278" s="20"/>
      <c r="O278" s="45"/>
    </row>
    <row r="279" spans="10:15">
      <c r="J279" s="9"/>
      <c r="K279" s="13"/>
      <c r="N279" s="20"/>
      <c r="O279" s="45"/>
    </row>
    <row r="280" spans="10:15">
      <c r="J280" s="9"/>
      <c r="K280" s="13"/>
      <c r="N280" s="20"/>
      <c r="O280" s="45"/>
    </row>
    <row r="281" spans="10:15">
      <c r="J281" s="9"/>
      <c r="K281" s="13"/>
      <c r="N281" s="20"/>
      <c r="O281" s="45"/>
    </row>
    <row r="282" spans="10:15">
      <c r="J282" s="9"/>
      <c r="K282" s="13"/>
      <c r="N282" s="20"/>
      <c r="O282" s="45"/>
    </row>
    <row r="283" spans="10:15">
      <c r="J283" s="9"/>
      <c r="K283" s="13"/>
      <c r="N283" s="20"/>
      <c r="O283" s="45"/>
    </row>
    <row r="284" spans="10:15">
      <c r="J284" s="9"/>
      <c r="K284" s="13"/>
      <c r="N284" s="20"/>
      <c r="O284" s="45"/>
    </row>
    <row r="285" spans="10:15">
      <c r="J285" s="9"/>
      <c r="K285" s="13"/>
      <c r="N285" s="20"/>
      <c r="O285" s="45"/>
    </row>
    <row r="286" spans="10:15">
      <c r="J286" s="9"/>
      <c r="K286" s="13"/>
      <c r="N286" s="20"/>
      <c r="O286" s="45"/>
    </row>
    <row r="287" spans="10:15">
      <c r="J287" s="9"/>
      <c r="K287" s="13"/>
      <c r="N287" s="20"/>
      <c r="O287" s="45"/>
    </row>
    <row r="288" spans="10:15">
      <c r="J288" s="9"/>
      <c r="K288" s="13"/>
      <c r="N288" s="20"/>
      <c r="O288" s="45"/>
    </row>
    <row r="289" spans="10:15">
      <c r="J289" s="9"/>
      <c r="K289" s="13"/>
      <c r="N289" s="20"/>
      <c r="O289" s="45"/>
    </row>
    <row r="290" spans="10:15">
      <c r="J290" s="9"/>
      <c r="K290" s="13"/>
      <c r="N290" s="20"/>
      <c r="O290" s="45"/>
    </row>
    <row r="291" spans="10:15">
      <c r="J291" s="9"/>
      <c r="K291" s="13"/>
      <c r="N291" s="20"/>
      <c r="O291" s="45"/>
    </row>
    <row r="292" spans="10:15">
      <c r="J292" s="9"/>
      <c r="K292" s="13"/>
      <c r="N292" s="20"/>
      <c r="O292" s="45"/>
    </row>
    <row r="293" spans="10:15">
      <c r="J293" s="9"/>
      <c r="K293" s="13"/>
      <c r="N293" s="20"/>
      <c r="O293" s="45"/>
    </row>
    <row r="294" spans="10:15">
      <c r="J294" s="9"/>
      <c r="K294" s="13"/>
      <c r="N294" s="20"/>
      <c r="O294" s="45"/>
    </row>
    <row r="295" spans="10:15">
      <c r="J295" s="9"/>
      <c r="K295" s="13"/>
      <c r="N295" s="20"/>
      <c r="O295" s="45"/>
    </row>
    <row r="296" spans="10:15">
      <c r="J296" s="9"/>
      <c r="K296" s="13"/>
      <c r="N296" s="20"/>
      <c r="O296" s="45"/>
    </row>
    <row r="297" spans="10:15">
      <c r="J297" s="9"/>
      <c r="K297" s="13"/>
      <c r="N297" s="20"/>
      <c r="O297" s="45"/>
    </row>
    <row r="298" spans="10:15">
      <c r="J298" s="9"/>
      <c r="K298" s="13"/>
      <c r="N298" s="20"/>
      <c r="O298" s="45"/>
    </row>
    <row r="299" spans="10:15">
      <c r="J299" s="9"/>
      <c r="K299" s="13"/>
      <c r="N299" s="20"/>
      <c r="O299" s="45"/>
    </row>
    <row r="300" spans="10:15">
      <c r="J300" s="9"/>
      <c r="K300" s="13"/>
      <c r="N300" s="20"/>
      <c r="O300" s="45"/>
    </row>
    <row r="301" spans="10:15">
      <c r="J301" s="9"/>
      <c r="K301" s="13"/>
      <c r="N301" s="20"/>
      <c r="O301" s="45"/>
    </row>
    <row r="302" spans="10:15">
      <c r="J302" s="9"/>
      <c r="K302" s="13"/>
      <c r="N302" s="20"/>
      <c r="O302" s="45"/>
    </row>
    <row r="303" spans="10:15">
      <c r="J303" s="9"/>
      <c r="K303" s="13"/>
      <c r="N303" s="20"/>
      <c r="O303" s="45"/>
    </row>
    <row r="304" spans="10:15">
      <c r="J304" s="9"/>
      <c r="K304" s="13"/>
      <c r="N304" s="20"/>
      <c r="O304" s="45"/>
    </row>
    <row r="305" spans="10:15">
      <c r="J305" s="9"/>
      <c r="K305" s="13"/>
      <c r="N305" s="20"/>
      <c r="O305" s="45"/>
    </row>
    <row r="306" spans="10:15">
      <c r="J306" s="9"/>
      <c r="K306" s="13"/>
      <c r="N306" s="20"/>
      <c r="O306" s="45"/>
    </row>
    <row r="307" spans="10:15">
      <c r="J307" s="9"/>
      <c r="K307" s="13"/>
      <c r="N307" s="20"/>
      <c r="O307" s="45"/>
    </row>
    <row r="308" spans="10:15">
      <c r="J308" s="9"/>
      <c r="K308" s="13"/>
      <c r="N308" s="20"/>
      <c r="O308" s="45"/>
    </row>
    <row r="309" spans="10:15">
      <c r="J309" s="9"/>
      <c r="K309" s="13"/>
      <c r="N309" s="20"/>
      <c r="O309" s="45"/>
    </row>
    <row r="310" spans="10:15">
      <c r="J310" s="9"/>
      <c r="K310" s="13"/>
      <c r="N310" s="20"/>
      <c r="O310" s="45"/>
    </row>
    <row r="311" spans="10:15">
      <c r="J311" s="9"/>
      <c r="K311" s="13"/>
      <c r="N311" s="20"/>
      <c r="O311" s="45"/>
    </row>
    <row r="312" spans="10:15">
      <c r="J312" s="9"/>
      <c r="K312" s="13"/>
      <c r="N312" s="20"/>
      <c r="O312" s="45"/>
    </row>
    <row r="313" spans="10:15">
      <c r="J313" s="9"/>
      <c r="K313" s="13"/>
      <c r="N313" s="20"/>
      <c r="O313" s="45"/>
    </row>
    <row r="314" spans="10:15">
      <c r="J314" s="9"/>
      <c r="K314" s="13"/>
      <c r="N314" s="20"/>
      <c r="O314" s="45"/>
    </row>
    <row r="315" spans="10:15">
      <c r="J315" s="9"/>
      <c r="K315" s="13"/>
      <c r="N315" s="20"/>
      <c r="O315" s="45"/>
    </row>
    <row r="316" spans="10:15">
      <c r="J316" s="9"/>
      <c r="K316" s="13"/>
      <c r="N316" s="20"/>
      <c r="O316" s="45"/>
    </row>
    <row r="317" spans="10:15">
      <c r="J317" s="9"/>
      <c r="K317" s="13"/>
      <c r="N317" s="20"/>
      <c r="O317" s="45"/>
    </row>
    <row r="318" spans="10:15">
      <c r="J318" s="9"/>
      <c r="K318" s="13"/>
      <c r="N318" s="20"/>
      <c r="O318" s="45"/>
    </row>
    <row r="319" spans="10:15">
      <c r="J319" s="9"/>
      <c r="K319" s="13"/>
      <c r="N319" s="20"/>
      <c r="O319" s="45"/>
    </row>
    <row r="320" spans="10:15">
      <c r="J320" s="9"/>
      <c r="K320" s="13"/>
      <c r="N320" s="20"/>
      <c r="O320" s="45"/>
    </row>
    <row r="321" spans="10:15">
      <c r="J321" s="9"/>
      <c r="K321" s="13"/>
      <c r="N321" s="20"/>
      <c r="O321" s="45"/>
    </row>
    <row r="322" spans="10:15">
      <c r="J322" s="9"/>
      <c r="K322" s="13"/>
      <c r="N322" s="20"/>
      <c r="O322" s="45"/>
    </row>
    <row r="323" spans="10:15">
      <c r="J323" s="9"/>
      <c r="K323" s="13"/>
      <c r="N323" s="20"/>
      <c r="O323" s="45"/>
    </row>
    <row r="324" spans="10:15">
      <c r="J324" s="9"/>
      <c r="K324" s="13"/>
      <c r="N324" s="20"/>
      <c r="O324" s="45"/>
    </row>
    <row r="325" spans="10:15">
      <c r="J325" s="9"/>
      <c r="K325" s="13"/>
      <c r="N325" s="20"/>
      <c r="O325" s="45"/>
    </row>
    <row r="326" spans="10:15">
      <c r="J326" s="9"/>
      <c r="K326" s="13"/>
      <c r="N326" s="20"/>
      <c r="O326" s="45"/>
    </row>
    <row r="327" spans="10:15">
      <c r="J327" s="9"/>
      <c r="K327" s="13"/>
      <c r="N327" s="20"/>
      <c r="O327" s="45"/>
    </row>
    <row r="328" spans="10:15">
      <c r="J328" s="9"/>
      <c r="K328" s="13"/>
      <c r="N328" s="20"/>
      <c r="O328" s="45"/>
    </row>
    <row r="329" spans="10:15">
      <c r="J329" s="9"/>
      <c r="K329" s="13"/>
      <c r="N329" s="20"/>
      <c r="O329" s="45"/>
    </row>
    <row r="330" spans="10:15">
      <c r="J330" s="9"/>
      <c r="K330" s="13"/>
      <c r="N330" s="20"/>
      <c r="O330" s="45"/>
    </row>
    <row r="331" spans="10:15">
      <c r="J331" s="9"/>
      <c r="K331" s="13"/>
      <c r="N331" s="20"/>
      <c r="O331" s="45"/>
    </row>
    <row r="332" spans="10:15">
      <c r="J332" s="9"/>
      <c r="K332" s="13"/>
      <c r="N332" s="20"/>
      <c r="O332" s="45"/>
    </row>
    <row r="333" spans="10:15">
      <c r="J333" s="9"/>
      <c r="K333" s="13"/>
      <c r="N333" s="20"/>
      <c r="O333" s="45"/>
    </row>
    <row r="334" spans="10:15">
      <c r="J334" s="9"/>
      <c r="K334" s="13"/>
      <c r="N334" s="20"/>
      <c r="O334" s="45"/>
    </row>
    <row r="335" spans="10:15">
      <c r="J335" s="9"/>
      <c r="K335" s="13"/>
      <c r="N335" s="20"/>
      <c r="O335" s="45"/>
    </row>
    <row r="336" spans="10:15">
      <c r="J336" s="9"/>
      <c r="K336" s="13"/>
      <c r="N336" s="20"/>
      <c r="O336" s="45"/>
    </row>
    <row r="337" spans="10:15">
      <c r="J337" s="9"/>
      <c r="K337" s="13"/>
      <c r="N337" s="20"/>
      <c r="O337" s="45"/>
    </row>
    <row r="338" spans="10:15">
      <c r="J338" s="9"/>
      <c r="K338" s="13"/>
      <c r="N338" s="20"/>
      <c r="O338" s="45"/>
    </row>
    <row r="339" spans="10:15">
      <c r="J339" s="9"/>
      <c r="K339" s="13"/>
      <c r="N339" s="20"/>
      <c r="O339" s="45"/>
    </row>
    <row r="340" spans="10:15">
      <c r="J340" s="9"/>
      <c r="K340" s="13"/>
      <c r="N340" s="20"/>
      <c r="O340" s="45"/>
    </row>
    <row r="341" spans="10:15">
      <c r="J341" s="9"/>
      <c r="K341" s="13"/>
      <c r="N341" s="20"/>
      <c r="O341" s="45"/>
    </row>
    <row r="342" spans="10:15">
      <c r="J342" s="9"/>
      <c r="K342" s="13"/>
      <c r="N342" s="20"/>
      <c r="O342" s="45"/>
    </row>
    <row r="343" spans="10:15">
      <c r="J343" s="9"/>
      <c r="K343" s="13"/>
      <c r="N343" s="20"/>
      <c r="O343" s="45"/>
    </row>
    <row r="344" spans="10:15">
      <c r="J344" s="9"/>
      <c r="K344" s="13"/>
      <c r="N344" s="20"/>
      <c r="O344" s="45"/>
    </row>
    <row r="345" spans="10:15">
      <c r="J345" s="9"/>
      <c r="K345" s="13"/>
      <c r="N345" s="20"/>
      <c r="O345" s="45"/>
    </row>
    <row r="346" spans="10:15">
      <c r="J346" s="9"/>
      <c r="K346" s="13"/>
      <c r="N346" s="20"/>
      <c r="O346" s="45"/>
    </row>
    <row r="347" spans="10:15">
      <c r="J347" s="9"/>
      <c r="K347" s="13"/>
      <c r="N347" s="20"/>
      <c r="O347" s="45"/>
    </row>
    <row r="348" spans="10:15">
      <c r="J348" s="9"/>
      <c r="K348" s="13"/>
      <c r="N348" s="20"/>
      <c r="O348" s="45"/>
    </row>
    <row r="349" spans="10:15">
      <c r="J349" s="9"/>
      <c r="K349" s="13"/>
      <c r="N349" s="20"/>
      <c r="O349" s="45"/>
    </row>
    <row r="350" spans="10:15">
      <c r="J350" s="9"/>
      <c r="K350" s="13"/>
      <c r="N350" s="20"/>
      <c r="O350" s="45"/>
    </row>
    <row r="351" spans="10:15">
      <c r="J351" s="9"/>
      <c r="K351" s="13"/>
      <c r="N351" s="20"/>
      <c r="O351" s="45"/>
    </row>
    <row r="352" spans="10:15">
      <c r="J352" s="9"/>
      <c r="K352" s="13"/>
      <c r="N352" s="20"/>
      <c r="O352" s="45"/>
    </row>
    <row r="353" spans="10:15">
      <c r="J353" s="9"/>
      <c r="K353" s="13"/>
      <c r="N353" s="20"/>
      <c r="O353" s="45"/>
    </row>
    <row r="354" spans="10:15">
      <c r="J354" s="9"/>
      <c r="K354" s="13"/>
      <c r="N354" s="20"/>
      <c r="O354" s="45"/>
    </row>
    <row r="355" spans="10:15">
      <c r="J355" s="9"/>
      <c r="K355" s="13"/>
      <c r="N355" s="20"/>
      <c r="O355" s="45"/>
    </row>
    <row r="356" spans="10:15">
      <c r="J356" s="9"/>
      <c r="K356" s="13"/>
      <c r="N356" s="20"/>
      <c r="O356" s="45"/>
    </row>
    <row r="357" spans="10:15">
      <c r="J357" s="9"/>
      <c r="K357" s="13"/>
      <c r="N357" s="20"/>
      <c r="O357" s="45"/>
    </row>
    <row r="358" spans="10:15">
      <c r="J358" s="9"/>
      <c r="K358" s="13"/>
      <c r="N358" s="20"/>
      <c r="O358" s="45"/>
    </row>
    <row r="359" spans="10:15">
      <c r="J359" s="9"/>
      <c r="K359" s="13"/>
      <c r="N359" s="20"/>
      <c r="O359" s="45"/>
    </row>
    <row r="360" spans="10:15">
      <c r="J360" s="9"/>
      <c r="K360" s="13"/>
      <c r="N360" s="20"/>
      <c r="O360" s="45"/>
    </row>
    <row r="361" spans="10:15">
      <c r="J361" s="9"/>
      <c r="K361" s="13"/>
      <c r="N361" s="20"/>
      <c r="O361" s="45"/>
    </row>
    <row r="362" spans="10:15">
      <c r="J362" s="9"/>
      <c r="K362" s="13"/>
      <c r="N362" s="20"/>
      <c r="O362" s="45"/>
    </row>
    <row r="363" spans="10:15">
      <c r="J363" s="9"/>
      <c r="K363" s="13"/>
      <c r="N363" s="20"/>
      <c r="O363" s="45"/>
    </row>
    <row r="364" spans="10:15">
      <c r="J364" s="9"/>
      <c r="K364" s="13"/>
      <c r="N364" s="20"/>
      <c r="O364" s="45"/>
    </row>
    <row r="365" spans="10:15">
      <c r="J365" s="9"/>
      <c r="K365" s="13"/>
      <c r="N365" s="20"/>
      <c r="O365" s="45"/>
    </row>
    <row r="366" spans="10:15">
      <c r="J366" s="9"/>
      <c r="K366" s="13"/>
      <c r="N366" s="20"/>
      <c r="O366" s="45"/>
    </row>
    <row r="367" spans="10:15">
      <c r="J367" s="9"/>
      <c r="K367" s="13"/>
      <c r="N367" s="20"/>
      <c r="O367" s="45"/>
    </row>
    <row r="368" spans="10:15">
      <c r="J368" s="9"/>
      <c r="K368" s="13"/>
      <c r="N368" s="20"/>
      <c r="O368" s="45"/>
    </row>
    <row r="369" spans="10:15">
      <c r="J369" s="9"/>
      <c r="K369" s="13"/>
      <c r="N369" s="20"/>
      <c r="O369" s="45"/>
    </row>
    <row r="370" spans="10:15">
      <c r="J370" s="9"/>
      <c r="K370" s="13"/>
      <c r="N370" s="20"/>
      <c r="O370" s="45"/>
    </row>
    <row r="371" spans="10:15">
      <c r="J371" s="9"/>
      <c r="K371" s="13"/>
      <c r="N371" s="20"/>
      <c r="O371" s="45"/>
    </row>
    <row r="372" spans="10:15">
      <c r="J372" s="9"/>
      <c r="K372" s="13"/>
      <c r="N372" s="20"/>
      <c r="O372" s="45"/>
    </row>
    <row r="373" spans="10:15">
      <c r="J373" s="9"/>
      <c r="K373" s="13"/>
      <c r="N373" s="20"/>
      <c r="O373" s="45"/>
    </row>
    <row r="374" spans="10:15">
      <c r="J374" s="9"/>
      <c r="K374" s="13"/>
      <c r="N374" s="20"/>
      <c r="O374" s="45"/>
    </row>
    <row r="375" spans="10:15">
      <c r="J375" s="9"/>
      <c r="K375" s="13"/>
      <c r="N375" s="20"/>
      <c r="O375" s="45"/>
    </row>
    <row r="376" spans="10:15">
      <c r="J376" s="9"/>
      <c r="K376" s="13"/>
      <c r="N376" s="20"/>
      <c r="O376" s="45"/>
    </row>
    <row r="377" spans="10:15">
      <c r="J377" s="9"/>
      <c r="K377" s="13"/>
      <c r="N377" s="20"/>
      <c r="O377" s="45"/>
    </row>
    <row r="378" spans="10:15">
      <c r="J378" s="9"/>
      <c r="K378" s="13"/>
      <c r="N378" s="20"/>
      <c r="O378" s="45"/>
    </row>
    <row r="379" spans="10:15">
      <c r="J379" s="9"/>
      <c r="K379" s="13"/>
      <c r="N379" s="20"/>
      <c r="O379" s="45"/>
    </row>
    <row r="380" spans="10:15">
      <c r="J380" s="9"/>
      <c r="K380" s="13"/>
      <c r="N380" s="20"/>
      <c r="O380" s="45"/>
    </row>
    <row r="381" spans="10:15">
      <c r="J381" s="9"/>
      <c r="K381" s="13"/>
      <c r="N381" s="20"/>
      <c r="O381" s="45"/>
    </row>
    <row r="382" spans="10:15">
      <c r="J382" s="9"/>
      <c r="K382" s="13"/>
      <c r="N382" s="20"/>
      <c r="O382" s="45"/>
    </row>
    <row r="383" spans="10:15">
      <c r="J383" s="9"/>
      <c r="K383" s="13"/>
      <c r="N383" s="20"/>
      <c r="O383" s="45"/>
    </row>
    <row r="384" spans="10:15">
      <c r="J384" s="9"/>
      <c r="K384" s="13"/>
      <c r="N384" s="20"/>
      <c r="O384" s="45"/>
    </row>
    <row r="385" spans="10:15">
      <c r="J385" s="9"/>
      <c r="K385" s="13"/>
      <c r="N385" s="20"/>
      <c r="O385" s="45"/>
    </row>
    <row r="386" spans="10:15">
      <c r="J386" s="9"/>
      <c r="K386" s="13"/>
      <c r="N386" s="20"/>
      <c r="O386" s="45"/>
    </row>
    <row r="387" spans="10:15">
      <c r="J387" s="9"/>
      <c r="K387" s="13"/>
      <c r="N387" s="20"/>
      <c r="O387" s="45"/>
    </row>
    <row r="388" spans="10:15">
      <c r="J388" s="9"/>
      <c r="K388" s="13"/>
      <c r="N388" s="20"/>
      <c r="O388" s="45"/>
    </row>
    <row r="389" spans="10:15">
      <c r="J389" s="9"/>
      <c r="K389" s="13"/>
      <c r="N389" s="20"/>
      <c r="O389" s="45"/>
    </row>
    <row r="390" spans="10:15">
      <c r="J390" s="9"/>
      <c r="K390" s="13"/>
      <c r="N390" s="20"/>
      <c r="O390" s="45"/>
    </row>
    <row r="391" spans="10:15">
      <c r="J391" s="9"/>
      <c r="K391" s="13"/>
      <c r="N391" s="20"/>
      <c r="O391" s="45"/>
    </row>
    <row r="392" spans="10:15">
      <c r="J392" s="9"/>
      <c r="K392" s="13"/>
      <c r="N392" s="20"/>
      <c r="O392" s="45"/>
    </row>
    <row r="393" spans="10:15">
      <c r="J393" s="9"/>
      <c r="K393" s="13"/>
      <c r="N393" s="20"/>
      <c r="O393" s="45"/>
    </row>
    <row r="394" spans="10:15">
      <c r="J394" s="9"/>
      <c r="K394" s="13"/>
      <c r="N394" s="20"/>
      <c r="O394" s="45"/>
    </row>
    <row r="395" spans="10:15">
      <c r="J395" s="9"/>
      <c r="K395" s="13"/>
      <c r="N395" s="20"/>
      <c r="O395" s="45"/>
    </row>
    <row r="396" spans="10:15">
      <c r="J396" s="9"/>
      <c r="K396" s="13"/>
      <c r="N396" s="20"/>
      <c r="O396" s="45"/>
    </row>
    <row r="397" spans="10:15">
      <c r="J397" s="9"/>
      <c r="K397" s="13"/>
      <c r="N397" s="20"/>
      <c r="O397" s="45"/>
    </row>
    <row r="398" spans="10:15">
      <c r="J398" s="9"/>
      <c r="K398" s="13"/>
      <c r="N398" s="20"/>
      <c r="O398" s="45"/>
    </row>
    <row r="399" spans="10:15">
      <c r="J399" s="9"/>
      <c r="K399" s="13"/>
      <c r="N399" s="20"/>
      <c r="O399" s="45"/>
    </row>
    <row r="400" spans="10:15">
      <c r="J400" s="9"/>
      <c r="K400" s="13"/>
      <c r="N400" s="20"/>
      <c r="O400" s="45"/>
    </row>
    <row r="401" spans="10:15">
      <c r="J401" s="9"/>
      <c r="K401" s="13"/>
      <c r="N401" s="20"/>
      <c r="O401" s="45"/>
    </row>
    <row r="402" spans="10:15">
      <c r="J402" s="9"/>
      <c r="K402" s="13"/>
      <c r="N402" s="20"/>
      <c r="O402" s="45"/>
    </row>
    <row r="403" spans="10:15">
      <c r="J403" s="9"/>
      <c r="K403" s="13"/>
      <c r="N403" s="20"/>
      <c r="O403" s="45"/>
    </row>
    <row r="404" spans="10:15">
      <c r="J404" s="9"/>
      <c r="K404" s="13"/>
      <c r="N404" s="20"/>
      <c r="O404" s="45"/>
    </row>
    <row r="405" spans="10:15">
      <c r="J405" s="9"/>
      <c r="K405" s="13"/>
      <c r="N405" s="20"/>
      <c r="O405" s="45"/>
    </row>
    <row r="406" spans="10:15">
      <c r="J406" s="9"/>
      <c r="K406" s="13"/>
      <c r="N406" s="20"/>
      <c r="O406" s="45"/>
    </row>
    <row r="407" spans="10:15">
      <c r="J407" s="9"/>
      <c r="K407" s="13"/>
      <c r="N407" s="20"/>
      <c r="O407" s="45"/>
    </row>
    <row r="408" spans="10:15">
      <c r="J408" s="9"/>
      <c r="K408" s="13"/>
      <c r="N408" s="20"/>
      <c r="O408" s="45"/>
    </row>
    <row r="409" spans="10:15">
      <c r="J409" s="9"/>
      <c r="K409" s="13"/>
      <c r="N409" s="20"/>
      <c r="O409" s="45"/>
    </row>
    <row r="410" spans="10:15">
      <c r="J410" s="9"/>
      <c r="K410" s="13"/>
      <c r="N410" s="20"/>
      <c r="O410" s="45"/>
    </row>
    <row r="411" spans="10:15">
      <c r="J411" s="9"/>
      <c r="K411" s="13"/>
      <c r="N411" s="20"/>
      <c r="O411" s="45"/>
    </row>
    <row r="412" spans="10:15">
      <c r="J412" s="9"/>
      <c r="K412" s="13"/>
      <c r="N412" s="20"/>
      <c r="O412" s="45"/>
    </row>
    <row r="413" spans="10:15">
      <c r="J413" s="9"/>
      <c r="K413" s="13"/>
      <c r="N413" s="20"/>
      <c r="O413" s="45"/>
    </row>
    <row r="414" spans="10:15">
      <c r="J414" s="9"/>
      <c r="K414" s="13"/>
      <c r="N414" s="20"/>
      <c r="O414" s="45"/>
    </row>
    <row r="415" spans="10:15">
      <c r="J415" s="9"/>
      <c r="K415" s="13"/>
      <c r="N415" s="20"/>
      <c r="O415" s="45"/>
    </row>
    <row r="416" spans="10:15">
      <c r="J416" s="9"/>
      <c r="K416" s="13"/>
      <c r="N416" s="20"/>
      <c r="O416" s="45"/>
    </row>
    <row r="417" spans="10:15">
      <c r="J417" s="9"/>
      <c r="K417" s="13"/>
      <c r="N417" s="20"/>
      <c r="O417" s="45"/>
    </row>
    <row r="418" spans="10:15">
      <c r="J418" s="9"/>
      <c r="K418" s="13"/>
      <c r="N418" s="20"/>
      <c r="O418" s="45"/>
    </row>
    <row r="419" spans="10:15">
      <c r="J419" s="9"/>
      <c r="K419" s="13"/>
      <c r="N419" s="20"/>
      <c r="O419" s="45"/>
    </row>
    <row r="420" spans="10:15">
      <c r="J420" s="9"/>
      <c r="K420" s="13"/>
      <c r="N420" s="20"/>
      <c r="O420" s="45"/>
    </row>
    <row r="421" spans="10:15">
      <c r="J421" s="9"/>
      <c r="K421" s="13"/>
      <c r="N421" s="20"/>
      <c r="O421" s="45"/>
    </row>
    <row r="422" spans="10:15">
      <c r="J422" s="9"/>
      <c r="K422" s="13"/>
      <c r="N422" s="20"/>
      <c r="O422" s="45"/>
    </row>
    <row r="423" spans="10:15">
      <c r="J423" s="9"/>
      <c r="K423" s="13"/>
      <c r="N423" s="20"/>
      <c r="O423" s="45"/>
    </row>
    <row r="424" spans="10:15">
      <c r="J424" s="9"/>
      <c r="K424" s="13"/>
      <c r="N424" s="20"/>
      <c r="O424" s="45"/>
    </row>
    <row r="425" spans="10:15">
      <c r="J425" s="9"/>
      <c r="K425" s="13"/>
      <c r="N425" s="20"/>
      <c r="O425" s="45"/>
    </row>
    <row r="426" spans="10:15">
      <c r="J426" s="9"/>
      <c r="K426" s="13"/>
      <c r="N426" s="20"/>
      <c r="O426" s="45"/>
    </row>
    <row r="427" spans="10:15">
      <c r="J427" s="9"/>
      <c r="K427" s="13"/>
      <c r="N427" s="20"/>
      <c r="O427" s="45"/>
    </row>
    <row r="428" spans="10:15">
      <c r="J428" s="9"/>
      <c r="K428" s="13"/>
      <c r="N428" s="20"/>
      <c r="O428" s="45"/>
    </row>
    <row r="429" spans="10:15">
      <c r="J429" s="9"/>
      <c r="K429" s="13"/>
      <c r="N429" s="20"/>
      <c r="O429" s="45"/>
    </row>
    <row r="430" spans="10:15">
      <c r="J430" s="9"/>
      <c r="K430" s="13"/>
      <c r="N430" s="20"/>
      <c r="O430" s="45"/>
    </row>
    <row r="431" spans="10:15">
      <c r="J431" s="9"/>
      <c r="K431" s="13"/>
      <c r="N431" s="20"/>
      <c r="O431" s="45"/>
    </row>
    <row r="432" spans="10:15">
      <c r="J432" s="9"/>
      <c r="K432" s="13"/>
      <c r="N432" s="20"/>
      <c r="O432" s="45"/>
    </row>
    <row r="433" spans="10:15">
      <c r="J433" s="9"/>
      <c r="K433" s="13"/>
      <c r="N433" s="20"/>
      <c r="O433" s="45"/>
    </row>
    <row r="434" spans="10:15">
      <c r="J434" s="9"/>
      <c r="K434" s="13"/>
      <c r="N434" s="20"/>
      <c r="O434" s="45"/>
    </row>
    <row r="435" spans="10:15">
      <c r="J435" s="9"/>
      <c r="K435" s="13"/>
      <c r="N435" s="20"/>
      <c r="O435" s="45"/>
    </row>
    <row r="436" spans="10:15">
      <c r="J436" s="9"/>
      <c r="K436" s="13"/>
      <c r="N436" s="20"/>
      <c r="O436" s="45"/>
    </row>
    <row r="437" spans="10:15">
      <c r="J437" s="9"/>
      <c r="K437" s="13"/>
      <c r="N437" s="20"/>
      <c r="O437" s="45"/>
    </row>
    <row r="438" spans="10:15">
      <c r="J438" s="9"/>
      <c r="K438" s="13"/>
      <c r="N438" s="20"/>
      <c r="O438" s="45"/>
    </row>
    <row r="439" spans="10:15">
      <c r="J439" s="9"/>
      <c r="K439" s="13"/>
      <c r="N439" s="20"/>
      <c r="O439" s="45"/>
    </row>
    <row r="440" spans="10:15">
      <c r="J440" s="9"/>
      <c r="K440" s="13"/>
      <c r="N440" s="20"/>
      <c r="O440" s="45"/>
    </row>
    <row r="441" spans="10:15">
      <c r="J441" s="9"/>
      <c r="K441" s="13"/>
      <c r="N441" s="20"/>
      <c r="O441" s="45"/>
    </row>
    <row r="442" spans="10:15">
      <c r="J442" s="9"/>
      <c r="K442" s="13"/>
      <c r="N442" s="20"/>
      <c r="O442" s="45"/>
    </row>
    <row r="443" spans="10:15">
      <c r="J443" s="9"/>
      <c r="K443" s="13"/>
      <c r="N443" s="20"/>
      <c r="O443" s="45"/>
    </row>
    <row r="444" spans="10:15">
      <c r="J444" s="9"/>
      <c r="K444" s="13"/>
      <c r="N444" s="20"/>
      <c r="O444" s="45"/>
    </row>
    <row r="445" spans="10:15">
      <c r="J445" s="9"/>
      <c r="K445" s="13"/>
      <c r="N445" s="20"/>
      <c r="O445" s="45"/>
    </row>
    <row r="446" spans="10:15">
      <c r="J446" s="9"/>
      <c r="K446" s="13"/>
      <c r="N446" s="20"/>
      <c r="O446" s="45"/>
    </row>
    <row r="447" spans="10:15">
      <c r="J447" s="9"/>
      <c r="K447" s="13"/>
      <c r="N447" s="20"/>
      <c r="O447" s="45"/>
    </row>
    <row r="448" spans="10:15">
      <c r="J448" s="9"/>
      <c r="K448" s="13"/>
      <c r="N448" s="20"/>
      <c r="O448" s="45"/>
    </row>
    <row r="449" spans="10:15">
      <c r="J449" s="9"/>
      <c r="K449" s="13"/>
      <c r="N449" s="20"/>
      <c r="O449" s="45"/>
    </row>
    <row r="450" spans="10:15">
      <c r="J450" s="9"/>
      <c r="K450" s="13"/>
      <c r="N450" s="20"/>
      <c r="O450" s="45"/>
    </row>
    <row r="451" spans="10:15">
      <c r="J451" s="9"/>
      <c r="K451" s="13"/>
      <c r="N451" s="20"/>
      <c r="O451" s="45"/>
    </row>
    <row r="452" spans="10:15">
      <c r="J452" s="9"/>
      <c r="K452" s="13"/>
      <c r="N452" s="20"/>
      <c r="O452" s="45"/>
    </row>
    <row r="453" spans="10:15">
      <c r="J453" s="9"/>
      <c r="K453" s="13"/>
      <c r="N453" s="20"/>
      <c r="O453" s="45"/>
    </row>
    <row r="454" spans="10:15">
      <c r="J454" s="9"/>
      <c r="K454" s="13"/>
      <c r="N454" s="20"/>
      <c r="O454" s="45"/>
    </row>
    <row r="455" spans="10:15">
      <c r="J455" s="9"/>
      <c r="K455" s="13"/>
      <c r="N455" s="20"/>
      <c r="O455" s="45"/>
    </row>
    <row r="456" spans="10:15">
      <c r="J456" s="9"/>
      <c r="K456" s="13"/>
      <c r="N456" s="20"/>
      <c r="O456" s="45"/>
    </row>
    <row r="457" spans="10:15">
      <c r="J457" s="9"/>
      <c r="K457" s="13"/>
      <c r="N457" s="20"/>
      <c r="O457" s="45"/>
    </row>
    <row r="458" spans="10:15">
      <c r="J458" s="9"/>
      <c r="K458" s="13"/>
      <c r="N458" s="20"/>
      <c r="O458" s="45"/>
    </row>
    <row r="459" spans="10:15">
      <c r="J459" s="9"/>
      <c r="K459" s="13"/>
      <c r="N459" s="20"/>
      <c r="O459" s="45"/>
    </row>
    <row r="460" spans="10:15">
      <c r="J460" s="9"/>
      <c r="K460" s="13"/>
      <c r="N460" s="20"/>
      <c r="O460" s="45"/>
    </row>
    <row r="461" spans="10:15">
      <c r="J461" s="9"/>
      <c r="K461" s="13"/>
      <c r="N461" s="20"/>
      <c r="O461" s="45"/>
    </row>
    <row r="462" spans="10:15">
      <c r="J462" s="9"/>
      <c r="K462" s="13"/>
      <c r="N462" s="20"/>
      <c r="O462" s="45"/>
    </row>
    <row r="463" spans="10:15">
      <c r="J463" s="9"/>
      <c r="K463" s="13"/>
      <c r="N463" s="20"/>
      <c r="O463" s="45"/>
    </row>
    <row r="464" spans="10:15">
      <c r="J464" s="9"/>
      <c r="K464" s="13"/>
      <c r="N464" s="20"/>
      <c r="O464" s="45"/>
    </row>
    <row r="465" spans="10:15">
      <c r="J465" s="9"/>
      <c r="K465" s="13"/>
      <c r="N465" s="20"/>
      <c r="O465" s="45"/>
    </row>
    <row r="466" spans="10:15">
      <c r="J466" s="9"/>
      <c r="K466" s="13"/>
      <c r="N466" s="20"/>
      <c r="O466" s="45"/>
    </row>
    <row r="467" spans="10:15">
      <c r="J467" s="9"/>
      <c r="K467" s="13"/>
      <c r="N467" s="20"/>
      <c r="O467" s="45"/>
    </row>
    <row r="468" spans="10:15">
      <c r="J468" s="9"/>
      <c r="K468" s="13"/>
      <c r="N468" s="20"/>
      <c r="O468" s="45"/>
    </row>
    <row r="469" spans="10:15">
      <c r="J469" s="9"/>
      <c r="K469" s="13"/>
      <c r="N469" s="20"/>
      <c r="O469" s="45"/>
    </row>
    <row r="470" spans="10:15">
      <c r="J470" s="9"/>
      <c r="K470" s="13"/>
      <c r="N470" s="20"/>
      <c r="O470" s="45"/>
    </row>
    <row r="471" spans="10:15">
      <c r="J471" s="9"/>
      <c r="K471" s="13"/>
      <c r="N471" s="20"/>
      <c r="O471" s="45"/>
    </row>
    <row r="472" spans="10:15">
      <c r="J472" s="9"/>
      <c r="K472" s="13"/>
      <c r="N472" s="20"/>
      <c r="O472" s="45"/>
    </row>
    <row r="473" spans="10:15">
      <c r="J473" s="9"/>
      <c r="K473" s="13"/>
      <c r="N473" s="20"/>
      <c r="O473" s="45"/>
    </row>
    <row r="474" spans="10:15">
      <c r="J474" s="9"/>
      <c r="K474" s="13"/>
      <c r="N474" s="20"/>
      <c r="O474" s="45"/>
    </row>
    <row r="475" spans="10:15">
      <c r="J475" s="9"/>
      <c r="K475" s="13"/>
      <c r="N475" s="20"/>
      <c r="O475" s="45"/>
    </row>
    <row r="476" spans="10:15">
      <c r="J476" s="9"/>
      <c r="K476" s="13"/>
      <c r="N476" s="20"/>
      <c r="O476" s="45"/>
    </row>
    <row r="477" spans="10:15">
      <c r="J477" s="9"/>
      <c r="K477" s="13"/>
      <c r="N477" s="20"/>
      <c r="O477" s="45"/>
    </row>
    <row r="478" spans="10:15">
      <c r="J478" s="9"/>
      <c r="K478" s="13"/>
      <c r="N478" s="20"/>
      <c r="O478" s="45"/>
    </row>
    <row r="479" spans="10:15">
      <c r="J479" s="9"/>
      <c r="K479" s="13"/>
      <c r="N479" s="20"/>
      <c r="O479" s="45"/>
    </row>
    <row r="480" spans="10:15">
      <c r="J480" s="9"/>
      <c r="K480" s="13"/>
      <c r="N480" s="20"/>
      <c r="O480" s="45"/>
    </row>
    <row r="481" spans="10:15">
      <c r="J481" s="9"/>
      <c r="K481" s="13"/>
      <c r="N481" s="20"/>
      <c r="O481" s="45"/>
    </row>
    <row r="482" spans="10:15">
      <c r="J482" s="9"/>
      <c r="K482" s="13"/>
      <c r="N482" s="20"/>
      <c r="O482" s="45"/>
    </row>
    <row r="483" spans="10:15">
      <c r="J483" s="9"/>
      <c r="K483" s="13"/>
      <c r="N483" s="20"/>
      <c r="O483" s="45"/>
    </row>
    <row r="484" spans="10:15">
      <c r="J484" s="9"/>
      <c r="K484" s="13"/>
      <c r="N484" s="20"/>
      <c r="O484" s="45"/>
    </row>
    <row r="485" spans="10:15">
      <c r="J485" s="9"/>
      <c r="K485" s="13"/>
      <c r="N485" s="20"/>
      <c r="O485" s="45"/>
    </row>
    <row r="486" spans="10:15">
      <c r="J486" s="9"/>
      <c r="K486" s="13"/>
      <c r="N486" s="20"/>
      <c r="O486" s="45"/>
    </row>
    <row r="487" spans="10:15">
      <c r="J487" s="9"/>
      <c r="K487" s="13"/>
      <c r="N487" s="20"/>
      <c r="O487" s="45"/>
    </row>
    <row r="488" spans="10:15">
      <c r="J488" s="9"/>
      <c r="K488" s="13"/>
      <c r="N488" s="20"/>
      <c r="O488" s="45"/>
    </row>
    <row r="489" spans="10:15">
      <c r="J489" s="9"/>
      <c r="K489" s="13"/>
      <c r="N489" s="20"/>
      <c r="O489" s="45"/>
    </row>
    <row r="490" spans="10:15">
      <c r="J490" s="9"/>
      <c r="K490" s="13"/>
      <c r="N490" s="20"/>
      <c r="O490" s="45"/>
    </row>
    <row r="491" spans="10:15">
      <c r="J491" s="9"/>
      <c r="K491" s="13"/>
      <c r="N491" s="20"/>
      <c r="O491" s="45"/>
    </row>
    <row r="492" spans="10:15">
      <c r="J492" s="9"/>
      <c r="K492" s="13"/>
      <c r="N492" s="20"/>
      <c r="O492" s="45"/>
    </row>
    <row r="493" spans="10:15">
      <c r="J493" s="9"/>
      <c r="K493" s="13"/>
      <c r="N493" s="20"/>
      <c r="O493" s="45"/>
    </row>
    <row r="494" spans="10:15">
      <c r="J494" s="9"/>
      <c r="K494" s="13"/>
      <c r="N494" s="20"/>
      <c r="O494" s="45"/>
    </row>
    <row r="495" spans="10:15">
      <c r="J495" s="9"/>
      <c r="K495" s="13"/>
      <c r="N495" s="20"/>
      <c r="O495" s="45"/>
    </row>
    <row r="496" spans="10:15">
      <c r="J496" s="9"/>
      <c r="K496" s="13"/>
      <c r="N496" s="20"/>
      <c r="O496" s="45"/>
    </row>
    <row r="497" spans="10:15">
      <c r="J497" s="9"/>
      <c r="K497" s="13"/>
      <c r="N497" s="20"/>
      <c r="O497" s="45"/>
    </row>
    <row r="498" spans="10:15">
      <c r="J498" s="9"/>
      <c r="K498" s="13"/>
      <c r="N498" s="20"/>
      <c r="O498" s="45"/>
    </row>
    <row r="499" spans="10:15">
      <c r="J499" s="9"/>
      <c r="K499" s="13"/>
      <c r="N499" s="20"/>
      <c r="O499" s="45"/>
    </row>
    <row r="500" spans="10:15">
      <c r="J500" s="9"/>
      <c r="K500" s="13"/>
      <c r="N500" s="20"/>
      <c r="O500" s="45"/>
    </row>
    <row r="501" spans="10:15">
      <c r="J501" s="9"/>
      <c r="K501" s="13"/>
      <c r="N501" s="20"/>
      <c r="O501" s="45"/>
    </row>
    <row r="502" spans="10:15">
      <c r="J502" s="9"/>
      <c r="K502" s="13"/>
      <c r="N502" s="20"/>
      <c r="O502" s="45"/>
    </row>
    <row r="503" spans="10:15">
      <c r="J503" s="9"/>
      <c r="K503" s="13"/>
      <c r="N503" s="20"/>
      <c r="O503" s="45"/>
    </row>
    <row r="504" spans="10:15">
      <c r="J504" s="9"/>
      <c r="K504" s="13"/>
      <c r="N504" s="20"/>
      <c r="O504" s="45"/>
    </row>
    <row r="505" spans="10:15">
      <c r="J505" s="9"/>
      <c r="K505" s="13"/>
      <c r="N505" s="20"/>
      <c r="O505" s="45"/>
    </row>
    <row r="506" spans="10:15">
      <c r="J506" s="9"/>
      <c r="K506" s="13"/>
      <c r="N506" s="20"/>
      <c r="O506" s="45"/>
    </row>
    <row r="507" spans="10:15">
      <c r="J507" s="9"/>
      <c r="K507" s="13"/>
      <c r="N507" s="20"/>
      <c r="O507" s="45"/>
    </row>
    <row r="508" spans="10:15">
      <c r="J508" s="9"/>
      <c r="K508" s="13"/>
      <c r="N508" s="20"/>
      <c r="O508" s="45"/>
    </row>
    <row r="509" spans="10:15">
      <c r="J509" s="9"/>
      <c r="K509" s="13"/>
      <c r="N509" s="20"/>
      <c r="O509" s="45"/>
    </row>
    <row r="510" spans="10:15">
      <c r="J510" s="9"/>
      <c r="K510" s="13"/>
      <c r="N510" s="20"/>
      <c r="O510" s="45"/>
    </row>
    <row r="511" spans="10:15">
      <c r="J511" s="9"/>
      <c r="K511" s="13"/>
      <c r="N511" s="20"/>
      <c r="O511" s="45"/>
    </row>
    <row r="512" spans="10:15">
      <c r="J512" s="9"/>
      <c r="K512" s="13"/>
      <c r="N512" s="20"/>
      <c r="O512" s="45"/>
    </row>
    <row r="513" spans="10:15">
      <c r="J513" s="9"/>
      <c r="K513" s="13"/>
      <c r="N513" s="20"/>
      <c r="O513" s="45"/>
    </row>
    <row r="514" spans="10:15">
      <c r="J514" s="9"/>
      <c r="K514" s="13"/>
      <c r="N514" s="20"/>
      <c r="O514" s="45"/>
    </row>
    <row r="515" spans="10:15">
      <c r="J515" s="9"/>
      <c r="K515" s="13"/>
      <c r="N515" s="20"/>
      <c r="O515" s="45"/>
    </row>
    <row r="516" spans="10:15">
      <c r="J516" s="9"/>
      <c r="K516" s="13"/>
      <c r="N516" s="20"/>
      <c r="O516" s="45"/>
    </row>
    <row r="517" spans="10:15">
      <c r="J517" s="9"/>
      <c r="K517" s="13"/>
      <c r="N517" s="20"/>
      <c r="O517" s="45"/>
    </row>
    <row r="518" spans="10:15">
      <c r="J518" s="9"/>
      <c r="K518" s="13"/>
      <c r="N518" s="20"/>
      <c r="O518" s="45"/>
    </row>
    <row r="519" spans="10:15">
      <c r="J519" s="9"/>
      <c r="K519" s="13"/>
      <c r="N519" s="20"/>
      <c r="O519" s="45"/>
    </row>
    <row r="520" spans="10:15">
      <c r="J520" s="9"/>
      <c r="K520" s="13"/>
      <c r="N520" s="20"/>
      <c r="O520" s="45"/>
    </row>
    <row r="521" spans="10:15">
      <c r="J521" s="9"/>
      <c r="K521" s="13"/>
      <c r="N521" s="20"/>
      <c r="O521" s="45"/>
    </row>
    <row r="522" spans="10:15">
      <c r="J522" s="9"/>
      <c r="K522" s="13"/>
      <c r="N522" s="20"/>
      <c r="O522" s="45"/>
    </row>
    <row r="523" spans="10:15">
      <c r="J523" s="9"/>
      <c r="K523" s="13"/>
      <c r="N523" s="20"/>
      <c r="O523" s="45"/>
    </row>
    <row r="524" spans="10:15">
      <c r="J524" s="9"/>
      <c r="K524" s="13"/>
      <c r="N524" s="20"/>
      <c r="O524" s="45"/>
    </row>
    <row r="525" spans="10:15">
      <c r="J525" s="9"/>
      <c r="K525" s="13"/>
      <c r="N525" s="20"/>
      <c r="O525" s="45"/>
    </row>
    <row r="526" spans="10:15">
      <c r="J526" s="9"/>
      <c r="K526" s="13"/>
      <c r="N526" s="20"/>
      <c r="O526" s="45"/>
    </row>
    <row r="527" spans="10:15">
      <c r="J527" s="9"/>
      <c r="K527" s="13"/>
      <c r="N527" s="20"/>
      <c r="O527" s="45"/>
    </row>
    <row r="528" spans="10:15">
      <c r="J528" s="9"/>
      <c r="K528" s="13"/>
      <c r="N528" s="20"/>
      <c r="O528" s="45"/>
    </row>
    <row r="529" spans="10:15">
      <c r="J529" s="9"/>
      <c r="K529" s="13"/>
      <c r="N529" s="20"/>
      <c r="O529" s="45"/>
    </row>
    <row r="530" spans="10:15">
      <c r="J530" s="9"/>
      <c r="K530" s="13"/>
      <c r="N530" s="20"/>
      <c r="O530" s="45"/>
    </row>
    <row r="531" spans="10:15">
      <c r="J531" s="9"/>
      <c r="K531" s="13"/>
      <c r="N531" s="20"/>
      <c r="O531" s="45"/>
    </row>
    <row r="532" spans="10:15">
      <c r="J532" s="9"/>
      <c r="K532" s="13"/>
      <c r="N532" s="20"/>
      <c r="O532" s="45"/>
    </row>
    <row r="533" spans="10:15">
      <c r="J533" s="9"/>
      <c r="K533" s="13"/>
      <c r="N533" s="20"/>
      <c r="O533" s="45"/>
    </row>
    <row r="534" spans="10:15">
      <c r="J534" s="9"/>
      <c r="K534" s="13"/>
      <c r="N534" s="20"/>
      <c r="O534" s="45"/>
    </row>
    <row r="535" spans="10:15">
      <c r="J535" s="9"/>
      <c r="K535" s="13"/>
      <c r="N535" s="20"/>
      <c r="O535" s="45"/>
    </row>
    <row r="536" spans="10:15">
      <c r="J536" s="9"/>
      <c r="K536" s="13"/>
      <c r="N536" s="20"/>
      <c r="O536" s="45"/>
    </row>
    <row r="537" spans="10:15">
      <c r="J537" s="9"/>
      <c r="K537" s="13"/>
      <c r="N537" s="20"/>
      <c r="O537" s="45"/>
    </row>
    <row r="538" spans="10:15">
      <c r="J538" s="9"/>
      <c r="K538" s="13"/>
      <c r="N538" s="20"/>
      <c r="O538" s="45"/>
    </row>
    <row r="539" spans="10:15">
      <c r="J539" s="9"/>
      <c r="K539" s="13"/>
      <c r="N539" s="20"/>
      <c r="O539" s="45"/>
    </row>
    <row r="540" spans="10:15">
      <c r="J540" s="9"/>
      <c r="K540" s="13"/>
      <c r="N540" s="20"/>
      <c r="O540" s="45"/>
    </row>
    <row r="541" spans="10:15">
      <c r="J541" s="9"/>
      <c r="K541" s="13"/>
      <c r="N541" s="20"/>
      <c r="O541" s="45"/>
    </row>
    <row r="542" spans="10:15">
      <c r="J542" s="9"/>
      <c r="K542" s="13"/>
      <c r="N542" s="20"/>
      <c r="O542" s="45"/>
    </row>
    <row r="543" spans="10:15">
      <c r="J543" s="9"/>
      <c r="K543" s="13"/>
      <c r="N543" s="20"/>
      <c r="O543" s="45"/>
    </row>
    <row r="544" spans="10:15">
      <c r="J544" s="9"/>
      <c r="K544" s="13"/>
      <c r="N544" s="20"/>
      <c r="O544" s="45"/>
    </row>
    <row r="545" spans="10:15">
      <c r="J545" s="9"/>
      <c r="K545" s="13"/>
      <c r="N545" s="20"/>
      <c r="O545" s="45"/>
    </row>
    <row r="546" spans="10:15">
      <c r="J546" s="9"/>
      <c r="K546" s="13"/>
      <c r="N546" s="20"/>
      <c r="O546" s="45"/>
    </row>
    <row r="547" spans="10:15">
      <c r="J547" s="9"/>
      <c r="K547" s="13"/>
      <c r="N547" s="20"/>
      <c r="O547" s="45"/>
    </row>
    <row r="548" spans="10:15">
      <c r="J548" s="9"/>
      <c r="K548" s="13"/>
      <c r="N548" s="20"/>
      <c r="O548" s="45"/>
    </row>
    <row r="549" spans="10:15">
      <c r="J549" s="9"/>
      <c r="K549" s="13"/>
      <c r="N549" s="20"/>
      <c r="O549" s="45"/>
    </row>
    <row r="550" spans="10:15">
      <c r="J550" s="9"/>
      <c r="K550" s="13"/>
      <c r="N550" s="20"/>
      <c r="O550" s="45"/>
    </row>
    <row r="551" spans="10:15">
      <c r="J551" s="9"/>
      <c r="K551" s="13"/>
      <c r="N551" s="20"/>
      <c r="O551" s="45"/>
    </row>
    <row r="552" spans="10:15">
      <c r="J552" s="9"/>
      <c r="K552" s="13"/>
      <c r="N552" s="20"/>
      <c r="O552" s="45"/>
    </row>
    <row r="553" spans="10:15">
      <c r="J553" s="9"/>
      <c r="K553" s="13"/>
      <c r="N553" s="20"/>
      <c r="O553" s="45"/>
    </row>
    <row r="554" spans="10:15">
      <c r="J554" s="9"/>
      <c r="K554" s="13"/>
      <c r="N554" s="20"/>
      <c r="O554" s="45"/>
    </row>
    <row r="555" spans="10:15">
      <c r="J555" s="9"/>
      <c r="K555" s="13"/>
      <c r="N555" s="20"/>
      <c r="O555" s="45"/>
    </row>
    <row r="556" spans="10:15">
      <c r="J556" s="9"/>
      <c r="K556" s="13"/>
      <c r="N556" s="20"/>
      <c r="O556" s="45"/>
    </row>
    <row r="557" spans="10:15">
      <c r="J557" s="9"/>
      <c r="K557" s="13"/>
      <c r="N557" s="20"/>
      <c r="O557" s="45"/>
    </row>
    <row r="558" spans="10:15">
      <c r="J558" s="9"/>
      <c r="K558" s="13"/>
      <c r="N558" s="20"/>
      <c r="O558" s="45"/>
    </row>
    <row r="559" spans="10:15">
      <c r="J559" s="9"/>
      <c r="K559" s="13"/>
      <c r="N559" s="20"/>
      <c r="O559" s="45"/>
    </row>
    <row r="560" spans="10:15">
      <c r="J560" s="9"/>
      <c r="K560" s="13"/>
      <c r="N560" s="20"/>
      <c r="O560" s="45"/>
    </row>
    <row r="561" spans="10:15">
      <c r="J561" s="9"/>
      <c r="K561" s="13"/>
      <c r="N561" s="20"/>
      <c r="O561" s="45"/>
    </row>
    <row r="562" spans="10:15">
      <c r="J562" s="9"/>
      <c r="K562" s="13"/>
      <c r="N562" s="20"/>
      <c r="O562" s="45"/>
    </row>
    <row r="563" spans="10:15">
      <c r="J563" s="9"/>
      <c r="K563" s="13"/>
      <c r="N563" s="20"/>
      <c r="O563" s="45"/>
    </row>
    <row r="564" spans="10:15">
      <c r="J564" s="9"/>
      <c r="K564" s="13"/>
      <c r="N564" s="20"/>
      <c r="O564" s="45"/>
    </row>
    <row r="565" spans="10:15">
      <c r="J565" s="9"/>
      <c r="K565" s="13"/>
      <c r="N565" s="20"/>
      <c r="O565" s="45"/>
    </row>
    <row r="566" spans="10:15">
      <c r="J566" s="9"/>
      <c r="K566" s="13"/>
      <c r="N566" s="20"/>
      <c r="O566" s="45"/>
    </row>
    <row r="567" spans="10:15">
      <c r="J567" s="9"/>
      <c r="K567" s="13"/>
      <c r="N567" s="20"/>
      <c r="O567" s="45"/>
    </row>
    <row r="568" spans="10:15">
      <c r="J568" s="9"/>
      <c r="K568" s="13"/>
      <c r="N568" s="20"/>
      <c r="O568" s="45"/>
    </row>
    <row r="569" spans="10:15">
      <c r="J569" s="9"/>
      <c r="K569" s="13"/>
      <c r="N569" s="20"/>
      <c r="O569" s="45"/>
    </row>
    <row r="570" spans="10:15">
      <c r="J570" s="9"/>
      <c r="K570" s="13"/>
      <c r="N570" s="20"/>
      <c r="O570" s="45"/>
    </row>
    <row r="571" spans="10:15">
      <c r="J571" s="9"/>
      <c r="K571" s="13"/>
      <c r="N571" s="20"/>
      <c r="O571" s="45"/>
    </row>
    <row r="572" spans="10:15">
      <c r="J572" s="9"/>
      <c r="K572" s="13"/>
      <c r="N572" s="20"/>
      <c r="O572" s="45"/>
    </row>
    <row r="573" spans="10:15">
      <c r="J573" s="9"/>
      <c r="K573" s="13"/>
      <c r="N573" s="20"/>
      <c r="O573" s="45"/>
    </row>
    <row r="574" spans="10:15">
      <c r="J574" s="9"/>
      <c r="K574" s="13"/>
      <c r="N574" s="20"/>
      <c r="O574" s="45"/>
    </row>
    <row r="575" spans="10:15">
      <c r="J575" s="9"/>
      <c r="K575" s="13"/>
      <c r="N575" s="20"/>
      <c r="O575" s="45"/>
    </row>
    <row r="576" spans="10:15">
      <c r="J576" s="9"/>
      <c r="K576" s="13"/>
      <c r="N576" s="20"/>
      <c r="O576" s="45"/>
    </row>
    <row r="577" spans="10:15">
      <c r="J577" s="9"/>
      <c r="K577" s="13"/>
      <c r="N577" s="20"/>
      <c r="O577" s="45"/>
    </row>
    <row r="578" spans="10:15">
      <c r="J578" s="9"/>
      <c r="K578" s="13"/>
      <c r="N578" s="20"/>
      <c r="O578" s="45"/>
    </row>
    <row r="579" spans="10:15">
      <c r="J579" s="9"/>
      <c r="K579" s="13"/>
      <c r="N579" s="20"/>
      <c r="O579" s="45"/>
    </row>
    <row r="580" spans="10:15">
      <c r="J580" s="9"/>
      <c r="K580" s="13"/>
      <c r="N580" s="20"/>
      <c r="O580" s="45"/>
    </row>
    <row r="581" spans="10:15">
      <c r="J581" s="9"/>
      <c r="K581" s="13"/>
      <c r="N581" s="20"/>
      <c r="O581" s="45"/>
    </row>
    <row r="582" spans="10:15">
      <c r="J582" s="9"/>
      <c r="K582" s="13"/>
      <c r="N582" s="20"/>
      <c r="O582" s="45"/>
    </row>
    <row r="583" spans="10:15">
      <c r="J583" s="9"/>
      <c r="K583" s="13"/>
      <c r="N583" s="20"/>
      <c r="O583" s="45"/>
    </row>
    <row r="584" spans="10:15">
      <c r="J584" s="9"/>
      <c r="K584" s="13"/>
      <c r="N584" s="20"/>
      <c r="O584" s="45"/>
    </row>
    <row r="585" spans="10:15">
      <c r="J585" s="9"/>
      <c r="K585" s="13"/>
      <c r="N585" s="20"/>
      <c r="O585" s="45"/>
    </row>
    <row r="586" spans="10:15">
      <c r="J586" s="9"/>
      <c r="K586" s="13"/>
      <c r="N586" s="20"/>
      <c r="O586" s="45"/>
    </row>
    <row r="587" spans="10:15">
      <c r="J587" s="9"/>
      <c r="K587" s="13"/>
      <c r="N587" s="20"/>
      <c r="O587" s="45"/>
    </row>
    <row r="588" spans="10:15">
      <c r="J588" s="9"/>
      <c r="K588" s="13"/>
      <c r="N588" s="20"/>
      <c r="O588" s="45"/>
    </row>
    <row r="589" spans="10:15">
      <c r="J589" s="9"/>
      <c r="K589" s="13"/>
      <c r="N589" s="20"/>
      <c r="O589" s="45"/>
    </row>
    <row r="590" spans="10:15">
      <c r="J590" s="9"/>
      <c r="K590" s="13"/>
      <c r="N590" s="20"/>
      <c r="O590" s="45"/>
    </row>
    <row r="591" spans="10:15">
      <c r="J591" s="9"/>
      <c r="K591" s="13"/>
      <c r="N591" s="20"/>
      <c r="O591" s="45"/>
    </row>
    <row r="592" spans="10:15">
      <c r="J592" s="9"/>
      <c r="K592" s="13"/>
      <c r="N592" s="20"/>
      <c r="O592" s="45"/>
    </row>
    <row r="593" spans="10:15">
      <c r="J593" s="9"/>
      <c r="K593" s="13"/>
      <c r="N593" s="20"/>
      <c r="O593" s="45"/>
    </row>
    <row r="594" spans="10:15">
      <c r="J594" s="9"/>
      <c r="K594" s="13"/>
      <c r="N594" s="20"/>
      <c r="O594" s="45"/>
    </row>
    <row r="595" spans="10:15">
      <c r="J595" s="9"/>
      <c r="K595" s="13"/>
      <c r="N595" s="20"/>
      <c r="O595" s="45"/>
    </row>
    <row r="596" spans="10:15">
      <c r="J596" s="9"/>
      <c r="K596" s="13"/>
      <c r="N596" s="20"/>
      <c r="O596" s="45"/>
    </row>
    <row r="597" spans="10:15">
      <c r="J597" s="9"/>
      <c r="K597" s="13"/>
      <c r="N597" s="20"/>
      <c r="O597" s="45"/>
    </row>
    <row r="598" spans="10:15">
      <c r="J598" s="9"/>
      <c r="K598" s="13"/>
      <c r="N598" s="20"/>
      <c r="O598" s="45"/>
    </row>
    <row r="599" spans="10:15">
      <c r="J599" s="9"/>
      <c r="K599" s="13"/>
      <c r="N599" s="20"/>
      <c r="O599" s="45"/>
    </row>
    <row r="600" spans="10:15">
      <c r="J600" s="9"/>
      <c r="K600" s="13"/>
      <c r="N600" s="20"/>
      <c r="O600" s="45"/>
    </row>
    <row r="601" spans="10:15">
      <c r="J601" s="9"/>
      <c r="K601" s="13"/>
      <c r="N601" s="20"/>
      <c r="O601" s="45"/>
    </row>
    <row r="602" spans="10:15">
      <c r="J602" s="9"/>
      <c r="K602" s="13"/>
      <c r="N602" s="20"/>
      <c r="O602" s="45"/>
    </row>
    <row r="603" spans="10:15">
      <c r="J603" s="9"/>
      <c r="K603" s="13"/>
      <c r="N603" s="20"/>
      <c r="O603" s="45"/>
    </row>
    <row r="604" spans="10:15">
      <c r="J604" s="9"/>
      <c r="K604" s="13"/>
      <c r="N604" s="20"/>
      <c r="O604" s="45"/>
    </row>
    <row r="605" spans="10:15">
      <c r="J605" s="9"/>
      <c r="K605" s="13"/>
      <c r="N605" s="20"/>
      <c r="O605" s="45"/>
    </row>
    <row r="606" spans="10:15">
      <c r="J606" s="9"/>
      <c r="K606" s="13"/>
      <c r="N606" s="20"/>
      <c r="O606" s="45"/>
    </row>
    <row r="607" spans="10:15">
      <c r="J607" s="9"/>
      <c r="K607" s="13"/>
      <c r="N607" s="20"/>
      <c r="O607" s="45"/>
    </row>
    <row r="608" spans="10:15">
      <c r="J608" s="9"/>
      <c r="K608" s="13"/>
      <c r="N608" s="20"/>
      <c r="O608" s="45"/>
    </row>
    <row r="609" spans="10:15">
      <c r="J609" s="9"/>
      <c r="K609" s="13"/>
      <c r="N609" s="20"/>
      <c r="O609" s="45"/>
    </row>
    <row r="610" spans="10:15">
      <c r="J610" s="9"/>
      <c r="K610" s="13"/>
      <c r="N610" s="20"/>
      <c r="O610" s="45"/>
    </row>
    <row r="611" spans="10:15">
      <c r="J611" s="9"/>
      <c r="K611" s="13"/>
      <c r="N611" s="20"/>
      <c r="O611" s="45"/>
    </row>
    <row r="612" spans="10:15">
      <c r="J612" s="9"/>
      <c r="K612" s="13"/>
      <c r="N612" s="20"/>
      <c r="O612" s="45"/>
    </row>
    <row r="613" spans="10:15">
      <c r="J613" s="9"/>
      <c r="K613" s="13"/>
      <c r="N613" s="20"/>
      <c r="O613" s="45"/>
    </row>
    <row r="614" spans="10:15">
      <c r="J614" s="9"/>
      <c r="K614" s="13"/>
      <c r="N614" s="20"/>
      <c r="O614" s="45"/>
    </row>
    <row r="615" spans="10:15">
      <c r="J615" s="9"/>
      <c r="K615" s="13"/>
      <c r="N615" s="20"/>
      <c r="O615" s="45"/>
    </row>
    <row r="616" spans="10:15">
      <c r="J616" s="9"/>
      <c r="K616" s="13"/>
      <c r="N616" s="20"/>
      <c r="O616" s="45"/>
    </row>
    <row r="617" spans="10:15">
      <c r="J617" s="9"/>
      <c r="K617" s="13"/>
      <c r="N617" s="20"/>
      <c r="O617" s="45"/>
    </row>
    <row r="618" spans="10:15">
      <c r="J618" s="9"/>
      <c r="K618" s="13"/>
      <c r="N618" s="20"/>
      <c r="O618" s="45"/>
    </row>
    <row r="619" spans="10:15">
      <c r="J619" s="9"/>
      <c r="K619" s="13"/>
      <c r="N619" s="20"/>
      <c r="O619" s="45"/>
    </row>
    <row r="620" spans="10:15">
      <c r="J620" s="9"/>
      <c r="K620" s="13"/>
      <c r="N620" s="20"/>
      <c r="O620" s="45"/>
    </row>
    <row r="621" spans="10:15">
      <c r="J621" s="9"/>
      <c r="K621" s="13"/>
      <c r="N621" s="20"/>
      <c r="O621" s="45"/>
    </row>
    <row r="622" spans="10:15">
      <c r="J622" s="9"/>
      <c r="K622" s="13"/>
      <c r="N622" s="20"/>
      <c r="O622" s="45"/>
    </row>
    <row r="623" spans="10:15">
      <c r="J623" s="9"/>
      <c r="K623" s="13"/>
      <c r="N623" s="20"/>
      <c r="O623" s="45"/>
    </row>
    <row r="624" spans="10:15">
      <c r="J624" s="9"/>
      <c r="K624" s="13"/>
      <c r="N624" s="20"/>
      <c r="O624" s="45"/>
    </row>
    <row r="625" spans="10:15">
      <c r="J625" s="9"/>
      <c r="K625" s="13"/>
      <c r="N625" s="20"/>
      <c r="O625" s="45"/>
    </row>
    <row r="626" spans="10:15">
      <c r="J626" s="9"/>
      <c r="K626" s="13"/>
      <c r="N626" s="20"/>
      <c r="O626" s="45"/>
    </row>
    <row r="627" spans="10:15">
      <c r="J627" s="9"/>
      <c r="K627" s="13"/>
      <c r="N627" s="20"/>
      <c r="O627" s="45"/>
    </row>
    <row r="628" spans="10:15">
      <c r="J628" s="9"/>
      <c r="K628" s="13"/>
      <c r="N628" s="20"/>
      <c r="O628" s="45"/>
    </row>
    <row r="629" spans="10:15">
      <c r="J629" s="9"/>
      <c r="K629" s="13"/>
      <c r="N629" s="20"/>
      <c r="O629" s="45"/>
    </row>
    <row r="630" spans="10:15">
      <c r="J630" s="9"/>
      <c r="K630" s="13"/>
      <c r="N630" s="20"/>
      <c r="O630" s="45"/>
    </row>
    <row r="631" spans="10:15">
      <c r="J631" s="9"/>
      <c r="K631" s="13"/>
      <c r="N631" s="20"/>
      <c r="O631" s="45"/>
    </row>
    <row r="632" spans="10:15">
      <c r="J632" s="9"/>
      <c r="K632" s="13"/>
      <c r="N632" s="20"/>
      <c r="O632" s="45"/>
    </row>
    <row r="633" spans="10:15">
      <c r="J633" s="9"/>
      <c r="K633" s="13"/>
      <c r="N633" s="20"/>
      <c r="O633" s="45"/>
    </row>
    <row r="634" spans="10:15">
      <c r="J634" s="9"/>
      <c r="K634" s="13"/>
      <c r="N634" s="20"/>
      <c r="O634" s="45"/>
    </row>
    <row r="635" spans="10:15">
      <c r="J635" s="9"/>
      <c r="K635" s="13"/>
      <c r="N635" s="20"/>
      <c r="O635" s="45"/>
    </row>
    <row r="636" spans="10:15">
      <c r="J636" s="9"/>
      <c r="K636" s="13"/>
      <c r="N636" s="20"/>
      <c r="O636" s="45"/>
    </row>
    <row r="637" spans="10:15">
      <c r="J637" s="9"/>
      <c r="K637" s="13"/>
      <c r="N637" s="20"/>
      <c r="O637" s="45"/>
    </row>
    <row r="638" spans="10:15">
      <c r="J638" s="9"/>
      <c r="K638" s="13"/>
      <c r="N638" s="20"/>
      <c r="O638" s="45"/>
    </row>
    <row r="639" spans="10:15">
      <c r="J639" s="9"/>
      <c r="K639" s="13"/>
      <c r="N639" s="20"/>
      <c r="O639" s="45"/>
    </row>
    <row r="640" spans="10:15">
      <c r="J640" s="9"/>
      <c r="K640" s="13"/>
      <c r="N640" s="20"/>
      <c r="O640" s="45"/>
    </row>
    <row r="641" spans="10:15">
      <c r="J641" s="9"/>
      <c r="K641" s="13"/>
      <c r="N641" s="20"/>
      <c r="O641" s="45"/>
    </row>
    <row r="642" spans="10:15">
      <c r="J642" s="9"/>
      <c r="K642" s="13"/>
      <c r="N642" s="20"/>
      <c r="O642" s="45"/>
    </row>
    <row r="643" spans="10:15">
      <c r="J643" s="9"/>
      <c r="K643" s="13"/>
      <c r="N643" s="20"/>
      <c r="O643" s="45"/>
    </row>
    <row r="644" spans="10:15">
      <c r="J644" s="9"/>
      <c r="K644" s="13"/>
      <c r="N644" s="20"/>
      <c r="O644" s="45"/>
    </row>
    <row r="645" spans="10:15">
      <c r="J645" s="9"/>
      <c r="K645" s="13"/>
      <c r="N645" s="20"/>
      <c r="O645" s="45"/>
    </row>
    <row r="646" spans="10:15">
      <c r="J646" s="9"/>
      <c r="K646" s="13"/>
      <c r="N646" s="20"/>
      <c r="O646" s="45"/>
    </row>
    <row r="647" spans="10:15">
      <c r="J647" s="9"/>
      <c r="K647" s="13"/>
      <c r="N647" s="20"/>
      <c r="O647" s="45"/>
    </row>
    <row r="648" spans="10:15">
      <c r="J648" s="9"/>
      <c r="K648" s="13"/>
      <c r="N648" s="20"/>
      <c r="O648" s="45"/>
    </row>
    <row r="649" spans="10:15">
      <c r="J649" s="9"/>
      <c r="K649" s="13"/>
      <c r="N649" s="20"/>
      <c r="O649" s="45"/>
    </row>
    <row r="650" spans="10:15">
      <c r="J650" s="9"/>
      <c r="K650" s="13"/>
      <c r="N650" s="20"/>
      <c r="O650" s="45"/>
    </row>
    <row r="651" spans="10:15">
      <c r="J651" s="9"/>
      <c r="K651" s="13"/>
      <c r="N651" s="20"/>
      <c r="O651" s="45"/>
    </row>
    <row r="652" spans="10:15">
      <c r="J652" s="9"/>
      <c r="K652" s="13"/>
      <c r="N652" s="20"/>
      <c r="O652" s="45"/>
    </row>
    <row r="653" spans="10:15">
      <c r="J653" s="9"/>
      <c r="K653" s="13"/>
      <c r="N653" s="20"/>
      <c r="O653" s="45"/>
    </row>
    <row r="654" spans="10:15">
      <c r="J654" s="9"/>
      <c r="K654" s="13"/>
      <c r="N654" s="20"/>
      <c r="O654" s="45"/>
    </row>
    <row r="655" spans="10:15">
      <c r="J655" s="9"/>
      <c r="K655" s="13"/>
      <c r="N655" s="20"/>
      <c r="O655" s="45"/>
    </row>
    <row r="656" spans="10:15">
      <c r="J656" s="9"/>
      <c r="K656" s="13"/>
      <c r="N656" s="20"/>
      <c r="O656" s="45"/>
    </row>
    <row r="657" spans="10:15">
      <c r="J657" s="9"/>
      <c r="K657" s="13"/>
      <c r="N657" s="20"/>
      <c r="O657" s="45"/>
    </row>
    <row r="658" spans="10:15">
      <c r="J658" s="9"/>
      <c r="K658" s="13"/>
      <c r="N658" s="20"/>
      <c r="O658" s="45"/>
    </row>
    <row r="659" spans="10:15">
      <c r="J659" s="9"/>
      <c r="K659" s="13"/>
      <c r="N659" s="20"/>
      <c r="O659" s="45"/>
    </row>
    <row r="660" spans="10:15">
      <c r="J660" s="9"/>
      <c r="K660" s="13"/>
      <c r="N660" s="20"/>
      <c r="O660" s="45"/>
    </row>
    <row r="661" spans="10:15">
      <c r="J661" s="9"/>
      <c r="K661" s="13"/>
      <c r="N661" s="20"/>
      <c r="O661" s="45"/>
    </row>
    <row r="662" spans="10:15">
      <c r="J662" s="9"/>
      <c r="K662" s="13"/>
      <c r="N662" s="20"/>
      <c r="O662" s="45"/>
    </row>
    <row r="663" spans="10:15">
      <c r="J663" s="9"/>
      <c r="K663" s="13"/>
      <c r="N663" s="20"/>
      <c r="O663" s="45"/>
    </row>
    <row r="664" spans="10:15">
      <c r="J664" s="9"/>
      <c r="K664" s="13"/>
      <c r="N664" s="20"/>
      <c r="O664" s="45"/>
    </row>
    <row r="665" spans="10:15">
      <c r="J665" s="9"/>
      <c r="K665" s="13"/>
      <c r="N665" s="20"/>
      <c r="O665" s="45"/>
    </row>
    <row r="666" spans="10:15">
      <c r="J666" s="9"/>
      <c r="K666" s="13"/>
      <c r="N666" s="20"/>
      <c r="O666" s="45"/>
    </row>
    <row r="667" spans="10:15">
      <c r="J667" s="9"/>
      <c r="K667" s="13"/>
      <c r="N667" s="20"/>
      <c r="O667" s="45"/>
    </row>
    <row r="668" spans="10:15">
      <c r="J668" s="9"/>
      <c r="K668" s="13"/>
      <c r="N668" s="20"/>
      <c r="O668" s="45"/>
    </row>
    <row r="669" spans="10:15">
      <c r="J669" s="9"/>
      <c r="K669" s="13"/>
      <c r="N669" s="20"/>
      <c r="O669" s="45"/>
    </row>
    <row r="670" spans="10:15">
      <c r="J670" s="9"/>
      <c r="K670" s="13"/>
      <c r="N670" s="20"/>
      <c r="O670" s="45"/>
    </row>
    <row r="671" spans="10:15">
      <c r="J671" s="9"/>
      <c r="K671" s="13"/>
      <c r="N671" s="20"/>
      <c r="O671" s="45"/>
    </row>
    <row r="672" spans="10:15">
      <c r="J672" s="9"/>
      <c r="K672" s="13"/>
      <c r="N672" s="20"/>
      <c r="O672" s="45"/>
    </row>
    <row r="673" spans="10:15">
      <c r="J673" s="9"/>
      <c r="K673" s="13"/>
      <c r="N673" s="20"/>
      <c r="O673" s="45"/>
    </row>
    <row r="674" spans="10:15">
      <c r="J674" s="9"/>
      <c r="K674" s="13"/>
      <c r="N674" s="20"/>
      <c r="O674" s="45"/>
    </row>
    <row r="675" spans="10:15">
      <c r="J675" s="9"/>
      <c r="K675" s="13"/>
      <c r="N675" s="20"/>
      <c r="O675" s="45"/>
    </row>
    <row r="676" spans="10:15">
      <c r="J676" s="9"/>
      <c r="K676" s="13"/>
      <c r="N676" s="20"/>
      <c r="O676" s="45"/>
    </row>
    <row r="677" spans="10:15">
      <c r="J677" s="9"/>
      <c r="K677" s="13"/>
      <c r="N677" s="20"/>
      <c r="O677" s="45"/>
    </row>
    <row r="678" spans="10:15">
      <c r="J678" s="9"/>
      <c r="K678" s="13"/>
      <c r="N678" s="20"/>
      <c r="O678" s="45"/>
    </row>
    <row r="679" spans="10:15">
      <c r="J679" s="9"/>
      <c r="K679" s="13"/>
      <c r="N679" s="20"/>
      <c r="O679" s="45"/>
    </row>
    <row r="680" spans="10:15">
      <c r="J680" s="9"/>
      <c r="K680" s="13"/>
      <c r="N680" s="20"/>
      <c r="O680" s="45"/>
    </row>
    <row r="681" spans="10:15">
      <c r="J681" s="9"/>
      <c r="K681" s="13"/>
      <c r="N681" s="20"/>
      <c r="O681" s="45"/>
    </row>
    <row r="682" spans="10:15">
      <c r="J682" s="9"/>
      <c r="K682" s="13"/>
      <c r="N682" s="20"/>
      <c r="O682" s="45"/>
    </row>
    <row r="683" spans="10:15">
      <c r="J683" s="9"/>
      <c r="K683" s="13"/>
      <c r="N683" s="20"/>
      <c r="O683" s="45"/>
    </row>
    <row r="684" spans="10:15">
      <c r="J684" s="9"/>
      <c r="K684" s="13"/>
      <c r="N684" s="20"/>
      <c r="O684" s="45"/>
    </row>
    <row r="685" spans="10:15">
      <c r="J685" s="9"/>
      <c r="K685" s="13"/>
      <c r="N685" s="20"/>
      <c r="O685" s="45"/>
    </row>
    <row r="686" spans="10:15">
      <c r="J686" s="9"/>
      <c r="K686" s="13"/>
      <c r="N686" s="20"/>
      <c r="O686" s="45"/>
    </row>
    <row r="687" spans="10:15">
      <c r="J687" s="9"/>
      <c r="K687" s="13"/>
      <c r="N687" s="20"/>
      <c r="O687" s="45"/>
    </row>
    <row r="688" spans="10:15">
      <c r="J688" s="9"/>
      <c r="K688" s="13"/>
      <c r="N688" s="20"/>
      <c r="O688" s="45"/>
    </row>
    <row r="689" spans="10:15">
      <c r="J689" s="9"/>
      <c r="K689" s="13"/>
      <c r="N689" s="20"/>
      <c r="O689" s="45"/>
    </row>
    <row r="690" spans="10:15">
      <c r="J690" s="9"/>
      <c r="K690" s="13"/>
      <c r="N690" s="20"/>
      <c r="O690" s="45"/>
    </row>
    <row r="691" spans="10:15">
      <c r="J691" s="9"/>
      <c r="K691" s="13"/>
      <c r="N691" s="20"/>
      <c r="O691" s="45"/>
    </row>
    <row r="692" spans="10:15">
      <c r="J692" s="9"/>
      <c r="K692" s="13"/>
      <c r="N692" s="20"/>
      <c r="O692" s="45"/>
    </row>
    <row r="693" spans="10:15">
      <c r="J693" s="9"/>
      <c r="K693" s="13"/>
      <c r="N693" s="20"/>
      <c r="O693" s="45"/>
    </row>
    <row r="694" spans="10:15">
      <c r="J694" s="9"/>
      <c r="K694" s="13"/>
      <c r="N694" s="20"/>
      <c r="O694" s="45"/>
    </row>
    <row r="695" spans="10:15">
      <c r="J695" s="9"/>
      <c r="K695" s="13"/>
      <c r="N695" s="20"/>
      <c r="O695" s="45"/>
    </row>
    <row r="696" spans="10:15">
      <c r="J696" s="9"/>
      <c r="K696" s="13"/>
      <c r="N696" s="20"/>
      <c r="O696" s="45"/>
    </row>
    <row r="697" spans="10:15">
      <c r="J697" s="9"/>
      <c r="K697" s="13"/>
      <c r="N697" s="20"/>
      <c r="O697" s="45"/>
    </row>
    <row r="698" spans="10:15">
      <c r="J698" s="9"/>
      <c r="K698" s="13"/>
      <c r="N698" s="20"/>
      <c r="O698" s="45"/>
    </row>
    <row r="699" spans="10:15">
      <c r="J699" s="9"/>
      <c r="K699" s="13"/>
      <c r="N699" s="20"/>
      <c r="O699" s="45"/>
    </row>
    <row r="700" spans="10:15">
      <c r="J700" s="9"/>
      <c r="K700" s="13"/>
      <c r="N700" s="20"/>
      <c r="O700" s="45"/>
    </row>
    <row r="701" spans="10:15">
      <c r="J701" s="9"/>
      <c r="K701" s="13"/>
      <c r="N701" s="20"/>
      <c r="O701" s="45"/>
    </row>
    <row r="702" spans="10:15">
      <c r="J702" s="9"/>
      <c r="K702" s="13"/>
      <c r="N702" s="20"/>
      <c r="O702" s="45"/>
    </row>
    <row r="703" spans="10:15">
      <c r="J703" s="9"/>
      <c r="K703" s="13"/>
      <c r="N703" s="20"/>
      <c r="O703" s="45"/>
    </row>
    <row r="704" spans="10:15">
      <c r="J704" s="9"/>
      <c r="K704" s="13"/>
      <c r="N704" s="20"/>
      <c r="O704" s="45"/>
    </row>
    <row r="705" spans="10:15">
      <c r="J705" s="9"/>
      <c r="K705" s="13"/>
      <c r="N705" s="20"/>
      <c r="O705" s="45"/>
    </row>
    <row r="706" spans="10:15">
      <c r="J706" s="9"/>
      <c r="K706" s="13"/>
      <c r="N706" s="20"/>
      <c r="O706" s="45"/>
    </row>
    <row r="707" spans="10:15">
      <c r="J707" s="9"/>
      <c r="K707" s="13"/>
      <c r="N707" s="20"/>
      <c r="O707" s="45"/>
    </row>
    <row r="708" spans="10:15">
      <c r="J708" s="9"/>
      <c r="K708" s="13"/>
      <c r="N708" s="20"/>
      <c r="O708" s="45"/>
    </row>
    <row r="709" spans="10:15">
      <c r="J709" s="9"/>
      <c r="K709" s="13"/>
      <c r="N709" s="20"/>
      <c r="O709" s="45"/>
    </row>
    <row r="710" spans="10:15">
      <c r="J710" s="9"/>
      <c r="K710" s="13"/>
      <c r="N710" s="20"/>
      <c r="O710" s="45"/>
    </row>
    <row r="711" spans="10:15">
      <c r="J711" s="9"/>
      <c r="K711" s="13"/>
      <c r="N711" s="20"/>
      <c r="O711" s="45"/>
    </row>
    <row r="712" spans="10:15">
      <c r="J712" s="9"/>
      <c r="K712" s="13"/>
      <c r="N712" s="20"/>
      <c r="O712" s="45"/>
    </row>
    <row r="713" spans="10:15">
      <c r="J713" s="9"/>
      <c r="K713" s="13"/>
      <c r="N713" s="20"/>
      <c r="O713" s="45"/>
    </row>
    <row r="714" spans="10:15">
      <c r="J714" s="9"/>
      <c r="K714" s="13"/>
      <c r="N714" s="20"/>
      <c r="O714" s="45"/>
    </row>
    <row r="715" spans="10:15">
      <c r="J715" s="9"/>
      <c r="K715" s="13"/>
      <c r="N715" s="20"/>
      <c r="O715" s="45"/>
    </row>
    <row r="716" spans="10:15">
      <c r="J716" s="9"/>
      <c r="K716" s="13"/>
      <c r="N716" s="20"/>
      <c r="O716" s="45"/>
    </row>
    <row r="717" spans="10:15">
      <c r="J717" s="9"/>
      <c r="K717" s="13"/>
      <c r="N717" s="20"/>
      <c r="O717" s="45"/>
    </row>
    <row r="718" spans="10:15">
      <c r="J718" s="9"/>
      <c r="K718" s="13"/>
      <c r="N718" s="20"/>
      <c r="O718" s="45"/>
    </row>
    <row r="719" spans="10:15">
      <c r="J719" s="9"/>
      <c r="K719" s="13"/>
      <c r="N719" s="20"/>
      <c r="O719" s="45"/>
    </row>
    <row r="720" spans="10:15">
      <c r="J720" s="9"/>
      <c r="K720" s="13"/>
      <c r="N720" s="20"/>
      <c r="O720" s="45"/>
    </row>
    <row r="721" spans="10:15">
      <c r="J721" s="9"/>
      <c r="K721" s="13"/>
      <c r="N721" s="20"/>
      <c r="O721" s="45"/>
    </row>
    <row r="722" spans="10:15">
      <c r="J722" s="9"/>
      <c r="K722" s="13"/>
      <c r="N722" s="20"/>
      <c r="O722" s="45"/>
    </row>
    <row r="723" spans="10:15">
      <c r="J723" s="9"/>
      <c r="K723" s="13"/>
      <c r="N723" s="20"/>
      <c r="O723" s="45"/>
    </row>
    <row r="724" spans="10:15">
      <c r="J724" s="9"/>
      <c r="K724" s="13"/>
      <c r="N724" s="20"/>
      <c r="O724" s="45"/>
    </row>
    <row r="725" spans="10:15">
      <c r="J725" s="9"/>
      <c r="K725" s="13"/>
      <c r="N725" s="20"/>
      <c r="O725" s="45"/>
    </row>
    <row r="726" spans="10:15">
      <c r="J726" s="9"/>
      <c r="K726" s="13"/>
      <c r="N726" s="20"/>
      <c r="O726" s="45"/>
    </row>
    <row r="727" spans="10:15">
      <c r="J727" s="9"/>
      <c r="K727" s="13"/>
      <c r="N727" s="20"/>
      <c r="O727" s="45"/>
    </row>
    <row r="728" spans="10:15">
      <c r="J728" s="9"/>
      <c r="K728" s="13"/>
      <c r="N728" s="20"/>
      <c r="O728" s="45"/>
    </row>
    <row r="729" spans="10:15">
      <c r="J729" s="9"/>
      <c r="K729" s="13"/>
      <c r="N729" s="20"/>
      <c r="O729" s="45"/>
    </row>
    <row r="730" spans="10:15">
      <c r="J730" s="9"/>
      <c r="K730" s="13"/>
      <c r="N730" s="20"/>
      <c r="O730" s="45"/>
    </row>
    <row r="731" spans="10:15">
      <c r="J731" s="9"/>
      <c r="K731" s="13"/>
      <c r="N731" s="20"/>
      <c r="O731" s="45"/>
    </row>
    <row r="732" spans="10:15">
      <c r="J732" s="9"/>
      <c r="K732" s="13"/>
      <c r="N732" s="20"/>
      <c r="O732" s="45"/>
    </row>
    <row r="733" spans="10:15">
      <c r="J733" s="9"/>
      <c r="K733" s="13"/>
      <c r="N733" s="20"/>
      <c r="O733" s="45"/>
    </row>
    <row r="734" spans="10:15">
      <c r="J734" s="9"/>
      <c r="K734" s="13"/>
      <c r="N734" s="20"/>
      <c r="O734" s="45"/>
    </row>
    <row r="735" spans="10:15">
      <c r="J735" s="9"/>
      <c r="K735" s="13"/>
      <c r="N735" s="20"/>
      <c r="O735" s="45"/>
    </row>
    <row r="736" spans="10:15">
      <c r="J736" s="9"/>
      <c r="K736" s="13"/>
      <c r="N736" s="20"/>
      <c r="O736" s="45"/>
    </row>
    <row r="737" spans="10:15">
      <c r="J737" s="9"/>
      <c r="K737" s="13"/>
      <c r="N737" s="20"/>
      <c r="O737" s="45"/>
    </row>
    <row r="738" spans="10:15">
      <c r="J738" s="9"/>
      <c r="K738" s="13"/>
      <c r="N738" s="20"/>
      <c r="O738" s="45"/>
    </row>
    <row r="739" spans="10:15">
      <c r="J739" s="9"/>
      <c r="K739" s="13"/>
      <c r="N739" s="20"/>
      <c r="O739" s="45"/>
    </row>
    <row r="740" spans="10:15">
      <c r="J740" s="9"/>
      <c r="K740" s="13"/>
      <c r="N740" s="20"/>
      <c r="O740" s="45"/>
    </row>
    <row r="741" spans="10:15">
      <c r="J741" s="9"/>
      <c r="K741" s="13"/>
      <c r="N741" s="20"/>
      <c r="O741" s="45"/>
    </row>
    <row r="742" spans="10:15">
      <c r="J742" s="9"/>
      <c r="K742" s="13"/>
      <c r="N742" s="20"/>
      <c r="O742" s="45"/>
    </row>
    <row r="743" spans="10:15">
      <c r="J743" s="9"/>
      <c r="K743" s="13"/>
      <c r="N743" s="20"/>
      <c r="O743" s="45"/>
    </row>
    <row r="744" spans="10:15">
      <c r="J744" s="9"/>
      <c r="K744" s="13"/>
      <c r="N744" s="20"/>
      <c r="O744" s="45"/>
    </row>
    <row r="745" spans="10:15">
      <c r="J745" s="9"/>
      <c r="K745" s="13"/>
      <c r="N745" s="20"/>
      <c r="O745" s="45"/>
    </row>
    <row r="746" spans="10:15">
      <c r="J746" s="9"/>
      <c r="K746" s="13"/>
      <c r="N746" s="20"/>
      <c r="O746" s="45"/>
    </row>
    <row r="747" spans="10:15">
      <c r="J747" s="9"/>
      <c r="K747" s="13"/>
      <c r="N747" s="20"/>
      <c r="O747" s="45"/>
    </row>
    <row r="748" spans="10:15">
      <c r="J748" s="9"/>
      <c r="K748" s="13"/>
      <c r="N748" s="20"/>
      <c r="O748" s="45"/>
    </row>
    <row r="749" spans="10:15">
      <c r="J749" s="9"/>
      <c r="K749" s="13"/>
      <c r="N749" s="20"/>
      <c r="O749" s="45"/>
    </row>
    <row r="750" spans="10:15">
      <c r="J750" s="9"/>
      <c r="K750" s="13"/>
      <c r="N750" s="20"/>
      <c r="O750" s="45"/>
    </row>
    <row r="751" spans="10:15">
      <c r="J751" s="9"/>
      <c r="K751" s="13"/>
      <c r="N751" s="20"/>
      <c r="O751" s="45"/>
    </row>
    <row r="752" spans="10:15">
      <c r="J752" s="9"/>
      <c r="K752" s="13"/>
      <c r="N752" s="20"/>
      <c r="O752" s="45"/>
    </row>
    <row r="753" spans="10:15">
      <c r="J753" s="9"/>
      <c r="K753" s="13"/>
      <c r="N753" s="20"/>
      <c r="O753" s="45"/>
    </row>
    <row r="754" spans="10:15">
      <c r="J754" s="9"/>
      <c r="K754" s="13"/>
      <c r="N754" s="20"/>
      <c r="O754" s="45"/>
    </row>
    <row r="755" spans="10:15">
      <c r="J755" s="9"/>
      <c r="K755" s="13"/>
      <c r="N755" s="20"/>
      <c r="O755" s="45"/>
    </row>
    <row r="756" spans="10:15">
      <c r="J756" s="9"/>
      <c r="K756" s="13"/>
      <c r="N756" s="20"/>
      <c r="O756" s="45"/>
    </row>
    <row r="757" spans="10:15">
      <c r="J757" s="9"/>
      <c r="K757" s="13"/>
      <c r="N757" s="20"/>
      <c r="O757" s="45"/>
    </row>
    <row r="758" spans="10:15">
      <c r="J758" s="9"/>
      <c r="K758" s="13"/>
      <c r="N758" s="20"/>
      <c r="O758" s="45"/>
    </row>
    <row r="759" spans="10:15">
      <c r="J759" s="9"/>
      <c r="K759" s="13"/>
      <c r="N759" s="20"/>
      <c r="O759" s="45"/>
    </row>
    <row r="760" spans="10:15">
      <c r="J760" s="9"/>
      <c r="K760" s="13"/>
      <c r="N760" s="20"/>
      <c r="O760" s="45"/>
    </row>
    <row r="761" spans="10:15">
      <c r="J761" s="9"/>
      <c r="K761" s="13"/>
      <c r="N761" s="20"/>
      <c r="O761" s="45"/>
    </row>
    <row r="762" spans="10:15">
      <c r="J762" s="9"/>
      <c r="K762" s="13"/>
      <c r="N762" s="20"/>
      <c r="O762" s="45"/>
    </row>
    <row r="763" spans="10:15">
      <c r="J763" s="9"/>
      <c r="K763" s="13"/>
      <c r="N763" s="20"/>
      <c r="O763" s="45"/>
    </row>
    <row r="764" spans="10:15">
      <c r="J764" s="9"/>
      <c r="K764" s="13"/>
      <c r="N764" s="20"/>
      <c r="O764" s="45"/>
    </row>
    <row r="765" spans="10:15">
      <c r="J765" s="9"/>
      <c r="K765" s="13"/>
      <c r="N765" s="20"/>
      <c r="O765" s="45"/>
    </row>
    <row r="766" spans="10:15">
      <c r="J766" s="9"/>
      <c r="K766" s="13"/>
      <c r="N766" s="20"/>
      <c r="O766" s="45"/>
    </row>
    <row r="767" spans="10:15">
      <c r="J767" s="9"/>
      <c r="K767" s="13"/>
      <c r="N767" s="20"/>
      <c r="O767" s="45"/>
    </row>
    <row r="768" spans="10:15">
      <c r="J768" s="9"/>
      <c r="K768" s="13"/>
      <c r="N768" s="20"/>
      <c r="O768" s="45"/>
    </row>
    <row r="769" spans="10:15">
      <c r="J769" s="9"/>
      <c r="K769" s="13"/>
      <c r="N769" s="20"/>
      <c r="O769" s="45"/>
    </row>
    <row r="770" spans="10:15">
      <c r="J770" s="9"/>
      <c r="K770" s="13"/>
      <c r="N770" s="20"/>
      <c r="O770" s="45"/>
    </row>
    <row r="771" spans="10:15">
      <c r="J771" s="9"/>
      <c r="K771" s="13"/>
      <c r="N771" s="20"/>
      <c r="O771" s="45"/>
    </row>
    <row r="772" spans="10:15">
      <c r="J772" s="9"/>
      <c r="K772" s="13"/>
      <c r="N772" s="20"/>
      <c r="O772" s="45"/>
    </row>
    <row r="773" spans="10:15">
      <c r="J773" s="9"/>
      <c r="K773" s="13"/>
      <c r="N773" s="20"/>
      <c r="O773" s="45"/>
    </row>
    <row r="774" spans="10:15">
      <c r="J774" s="9"/>
      <c r="K774" s="13"/>
      <c r="N774" s="20"/>
      <c r="O774" s="45"/>
    </row>
    <row r="775" spans="10:15">
      <c r="J775" s="9"/>
      <c r="K775" s="13"/>
      <c r="N775" s="20"/>
      <c r="O775" s="45"/>
    </row>
    <row r="776" spans="10:15">
      <c r="J776" s="9"/>
      <c r="K776" s="13"/>
      <c r="N776" s="20"/>
      <c r="O776" s="45"/>
    </row>
    <row r="777" spans="10:15">
      <c r="J777" s="9"/>
      <c r="K777" s="13"/>
      <c r="N777" s="20"/>
      <c r="O777" s="45"/>
    </row>
    <row r="778" spans="10:15">
      <c r="J778" s="9"/>
      <c r="K778" s="13"/>
      <c r="N778" s="20"/>
      <c r="O778" s="45"/>
    </row>
    <row r="779" spans="10:15">
      <c r="J779" s="9"/>
      <c r="K779" s="13"/>
      <c r="N779" s="20"/>
      <c r="O779" s="45"/>
    </row>
    <row r="780" spans="10:15">
      <c r="J780" s="9"/>
      <c r="K780" s="13"/>
      <c r="N780" s="20"/>
      <c r="O780" s="45"/>
    </row>
    <row r="781" spans="10:15">
      <c r="J781" s="9"/>
      <c r="K781" s="13"/>
      <c r="N781" s="20"/>
      <c r="O781" s="45"/>
    </row>
    <row r="782" spans="10:15">
      <c r="J782" s="9"/>
      <c r="K782" s="13"/>
      <c r="N782" s="20"/>
      <c r="O782" s="45"/>
    </row>
    <row r="783" spans="10:15">
      <c r="J783" s="9"/>
      <c r="K783" s="13"/>
      <c r="N783" s="20"/>
      <c r="O783" s="45"/>
    </row>
    <row r="784" spans="10:15">
      <c r="J784" s="9"/>
      <c r="K784" s="13"/>
      <c r="N784" s="20"/>
      <c r="O784" s="45"/>
    </row>
    <row r="785" spans="10:15">
      <c r="J785" s="9"/>
      <c r="K785" s="13"/>
      <c r="N785" s="20"/>
      <c r="O785" s="45"/>
    </row>
    <row r="786" spans="10:15">
      <c r="J786" s="9"/>
      <c r="K786" s="13"/>
      <c r="N786" s="20"/>
      <c r="O786" s="45"/>
    </row>
    <row r="787" spans="10:15">
      <c r="J787" s="9"/>
      <c r="K787" s="13"/>
      <c r="N787" s="20"/>
      <c r="O787" s="45"/>
    </row>
    <row r="788" spans="10:15">
      <c r="J788" s="9"/>
      <c r="K788" s="13"/>
      <c r="N788" s="20"/>
      <c r="O788" s="45"/>
    </row>
    <row r="789" spans="10:15">
      <c r="J789" s="9"/>
      <c r="K789" s="13"/>
      <c r="N789" s="20"/>
      <c r="O789" s="45"/>
    </row>
    <row r="790" spans="10:15">
      <c r="J790" s="9"/>
      <c r="K790" s="13"/>
      <c r="N790" s="20"/>
      <c r="O790" s="45"/>
    </row>
    <row r="791" spans="10:15">
      <c r="J791" s="9"/>
      <c r="K791" s="13"/>
      <c r="N791" s="20"/>
      <c r="O791" s="45"/>
    </row>
    <row r="792" spans="10:15">
      <c r="J792" s="9"/>
      <c r="K792" s="13"/>
      <c r="N792" s="20"/>
      <c r="O792" s="45"/>
    </row>
    <row r="793" spans="10:15">
      <c r="J793" s="9"/>
      <c r="K793" s="13"/>
      <c r="N793" s="20"/>
      <c r="O793" s="45"/>
    </row>
    <row r="794" spans="10:15">
      <c r="J794" s="9"/>
      <c r="K794" s="13"/>
      <c r="N794" s="20"/>
      <c r="O794" s="45"/>
    </row>
    <row r="795" spans="10:15">
      <c r="J795" s="9"/>
      <c r="K795" s="13"/>
      <c r="N795" s="20"/>
      <c r="O795" s="45"/>
    </row>
    <row r="796" spans="10:15">
      <c r="J796" s="9"/>
      <c r="K796" s="13"/>
      <c r="N796" s="20"/>
      <c r="O796" s="45"/>
    </row>
    <row r="797" spans="10:15">
      <c r="J797" s="9"/>
      <c r="K797" s="13"/>
      <c r="N797" s="20"/>
      <c r="O797" s="45"/>
    </row>
    <row r="798" spans="10:15">
      <c r="J798" s="9"/>
      <c r="K798" s="13"/>
      <c r="N798" s="20"/>
      <c r="O798" s="45"/>
    </row>
    <row r="799" spans="10:15">
      <c r="J799" s="9"/>
      <c r="K799" s="13"/>
      <c r="N799" s="20"/>
      <c r="O799" s="45"/>
    </row>
    <row r="800" spans="10:15">
      <c r="J800" s="9"/>
      <c r="K800" s="13"/>
      <c r="N800" s="20"/>
      <c r="O800" s="45"/>
    </row>
    <row r="801" spans="10:15">
      <c r="J801" s="9"/>
      <c r="K801" s="13"/>
      <c r="N801" s="20"/>
      <c r="O801" s="45"/>
    </row>
    <row r="802" spans="10:15">
      <c r="J802" s="9"/>
      <c r="K802" s="13"/>
      <c r="N802" s="20"/>
      <c r="O802" s="45"/>
    </row>
    <row r="803" spans="10:15">
      <c r="J803" s="9"/>
      <c r="K803" s="13"/>
      <c r="N803" s="20"/>
      <c r="O803" s="45"/>
    </row>
    <row r="804" spans="10:15">
      <c r="J804" s="9"/>
      <c r="K804" s="13"/>
      <c r="N804" s="20"/>
      <c r="O804" s="45"/>
    </row>
    <row r="805" spans="10:15">
      <c r="J805" s="9"/>
      <c r="K805" s="13"/>
      <c r="N805" s="20"/>
      <c r="O805" s="45"/>
    </row>
    <row r="806" spans="10:15">
      <c r="J806" s="9"/>
      <c r="K806" s="13"/>
      <c r="N806" s="20"/>
      <c r="O806" s="45"/>
    </row>
    <row r="807" spans="10:15">
      <c r="J807" s="9"/>
      <c r="K807" s="13"/>
      <c r="N807" s="20"/>
      <c r="O807" s="45"/>
    </row>
    <row r="808" spans="10:15">
      <c r="J808" s="9"/>
      <c r="K808" s="13"/>
      <c r="N808" s="20"/>
      <c r="O808" s="45"/>
    </row>
    <row r="809" spans="10:15">
      <c r="J809" s="9"/>
      <c r="K809" s="13"/>
      <c r="N809" s="20"/>
      <c r="O809" s="45"/>
    </row>
    <row r="810" spans="10:15">
      <c r="J810" s="9"/>
      <c r="K810" s="13"/>
      <c r="N810" s="20"/>
      <c r="O810" s="45"/>
    </row>
    <row r="811" spans="10:15">
      <c r="J811" s="9"/>
      <c r="K811" s="13"/>
      <c r="N811" s="20"/>
      <c r="O811" s="45"/>
    </row>
    <row r="812" spans="10:15">
      <c r="J812" s="9"/>
      <c r="K812" s="13"/>
      <c r="N812" s="20"/>
      <c r="O812" s="45"/>
    </row>
    <row r="813" spans="10:15">
      <c r="J813" s="9"/>
      <c r="K813" s="13"/>
      <c r="N813" s="20"/>
      <c r="O813" s="45"/>
    </row>
    <row r="814" spans="10:15">
      <c r="J814" s="9"/>
      <c r="K814" s="13"/>
      <c r="N814" s="20"/>
      <c r="O814" s="45"/>
    </row>
    <row r="815" spans="10:15">
      <c r="J815" s="9"/>
      <c r="K815" s="13"/>
      <c r="N815" s="20"/>
      <c r="O815" s="45"/>
    </row>
    <row r="816" spans="10:15">
      <c r="J816" s="9"/>
      <c r="K816" s="13"/>
      <c r="N816" s="20"/>
      <c r="O816" s="45"/>
    </row>
    <row r="817" spans="10:15">
      <c r="J817" s="9"/>
      <c r="K817" s="13"/>
      <c r="N817" s="20"/>
      <c r="O817" s="45"/>
    </row>
    <row r="818" spans="10:15">
      <c r="J818" s="9"/>
      <c r="K818" s="13"/>
      <c r="N818" s="20"/>
      <c r="O818" s="45"/>
    </row>
    <row r="819" spans="10:15">
      <c r="J819" s="9"/>
      <c r="K819" s="13"/>
      <c r="N819" s="20"/>
      <c r="O819" s="45"/>
    </row>
    <row r="820" spans="10:15">
      <c r="J820" s="9"/>
      <c r="K820" s="13"/>
      <c r="N820" s="20"/>
      <c r="O820" s="45"/>
    </row>
    <row r="821" spans="10:15">
      <c r="J821" s="9"/>
      <c r="K821" s="13"/>
      <c r="N821" s="20"/>
      <c r="O821" s="45"/>
    </row>
    <row r="822" spans="10:15">
      <c r="J822" s="9"/>
      <c r="K822" s="13"/>
      <c r="N822" s="20"/>
      <c r="O822" s="45"/>
    </row>
    <row r="823" spans="10:15">
      <c r="J823" s="9"/>
      <c r="K823" s="13"/>
      <c r="N823" s="20"/>
      <c r="O823" s="45"/>
    </row>
    <row r="824" spans="10:15">
      <c r="J824" s="9"/>
      <c r="K824" s="13"/>
      <c r="N824" s="20"/>
      <c r="O824" s="45"/>
    </row>
    <row r="825" spans="10:15">
      <c r="J825" s="9"/>
      <c r="K825" s="13"/>
      <c r="N825" s="20"/>
      <c r="O825" s="45"/>
    </row>
    <row r="826" spans="10:15">
      <c r="J826" s="9"/>
      <c r="K826" s="13"/>
      <c r="N826" s="20"/>
      <c r="O826" s="45"/>
    </row>
    <row r="827" spans="10:15">
      <c r="J827" s="9"/>
      <c r="K827" s="13"/>
      <c r="N827" s="20"/>
      <c r="O827" s="45"/>
    </row>
    <row r="828" spans="10:15">
      <c r="J828" s="9"/>
      <c r="K828" s="13"/>
      <c r="N828" s="20"/>
      <c r="O828" s="45"/>
    </row>
    <row r="829" spans="10:15">
      <c r="J829" s="9"/>
      <c r="K829" s="13"/>
      <c r="N829" s="20"/>
      <c r="O829" s="45"/>
    </row>
    <row r="830" spans="10:15">
      <c r="J830" s="9"/>
      <c r="K830" s="13"/>
      <c r="N830" s="20"/>
      <c r="O830" s="45"/>
    </row>
    <row r="831" spans="10:15">
      <c r="J831" s="9"/>
      <c r="K831" s="13"/>
      <c r="N831" s="20"/>
      <c r="O831" s="45"/>
    </row>
    <row r="832" spans="10:15">
      <c r="J832" s="9"/>
      <c r="K832" s="13"/>
      <c r="N832" s="20"/>
      <c r="O832" s="45"/>
    </row>
    <row r="833" spans="10:15">
      <c r="J833" s="9"/>
      <c r="K833" s="13"/>
      <c r="N833" s="20"/>
      <c r="O833" s="45"/>
    </row>
    <row r="834" spans="10:15">
      <c r="J834" s="9"/>
      <c r="K834" s="13"/>
      <c r="N834" s="20"/>
      <c r="O834" s="45"/>
    </row>
    <row r="835" spans="10:15">
      <c r="J835" s="9"/>
      <c r="K835" s="13"/>
      <c r="N835" s="20"/>
      <c r="O835" s="45"/>
    </row>
    <row r="836" spans="10:15">
      <c r="J836" s="9"/>
      <c r="K836" s="13"/>
      <c r="N836" s="20"/>
      <c r="O836" s="45"/>
    </row>
    <row r="837" spans="10:15">
      <c r="J837" s="9"/>
      <c r="K837" s="13"/>
      <c r="N837" s="20"/>
      <c r="O837" s="45"/>
    </row>
    <row r="838" spans="10:15">
      <c r="J838" s="9"/>
      <c r="K838" s="13"/>
      <c r="N838" s="20"/>
      <c r="O838" s="45"/>
    </row>
    <row r="839" spans="10:15">
      <c r="J839" s="9"/>
      <c r="K839" s="13"/>
      <c r="N839" s="20"/>
      <c r="O839" s="45"/>
    </row>
    <row r="840" spans="10:15">
      <c r="J840" s="9"/>
      <c r="K840" s="13"/>
      <c r="N840" s="20"/>
      <c r="O840" s="45"/>
    </row>
    <row r="841" spans="10:15">
      <c r="J841" s="9"/>
      <c r="K841" s="13"/>
      <c r="N841" s="20"/>
      <c r="O841" s="45"/>
    </row>
    <row r="842" spans="10:15">
      <c r="J842" s="9"/>
      <c r="K842" s="13"/>
      <c r="N842" s="20"/>
      <c r="O842" s="45"/>
    </row>
    <row r="843" spans="10:15">
      <c r="J843" s="9"/>
      <c r="K843" s="13"/>
      <c r="N843" s="20"/>
      <c r="O843" s="45"/>
    </row>
    <row r="844" spans="10:15">
      <c r="J844" s="9"/>
      <c r="K844" s="13"/>
      <c r="N844" s="20"/>
      <c r="O844" s="45"/>
    </row>
    <row r="845" spans="10:15">
      <c r="J845" s="9"/>
      <c r="K845" s="13"/>
      <c r="N845" s="20"/>
      <c r="O845" s="45"/>
    </row>
    <row r="846" spans="10:15">
      <c r="J846" s="9"/>
      <c r="K846" s="13"/>
      <c r="N846" s="20"/>
      <c r="O846" s="45"/>
    </row>
    <row r="847" spans="10:15">
      <c r="J847" s="9"/>
      <c r="K847" s="13"/>
      <c r="N847" s="20"/>
      <c r="O847" s="45"/>
    </row>
    <row r="848" spans="10:15">
      <c r="J848" s="9"/>
      <c r="K848" s="13"/>
      <c r="N848" s="20"/>
      <c r="O848" s="45"/>
    </row>
    <row r="849" spans="10:15">
      <c r="J849" s="9"/>
      <c r="K849" s="13"/>
      <c r="N849" s="20"/>
      <c r="O849" s="45"/>
    </row>
    <row r="850" spans="10:15">
      <c r="J850" s="9"/>
      <c r="K850" s="13"/>
      <c r="N850" s="20"/>
      <c r="O850" s="45"/>
    </row>
    <row r="851" spans="10:15">
      <c r="J851" s="9"/>
      <c r="K851" s="13"/>
      <c r="N851" s="20"/>
      <c r="O851" s="45"/>
    </row>
    <row r="852" spans="10:15">
      <c r="J852" s="9"/>
      <c r="K852" s="13"/>
      <c r="N852" s="20"/>
      <c r="O852" s="45"/>
    </row>
    <row r="853" spans="10:15">
      <c r="J853" s="9"/>
      <c r="K853" s="13"/>
      <c r="N853" s="20"/>
      <c r="O853" s="45"/>
    </row>
    <row r="854" spans="10:15">
      <c r="J854" s="9"/>
      <c r="K854" s="13"/>
      <c r="N854" s="20"/>
      <c r="O854" s="45"/>
    </row>
    <row r="855" spans="10:15">
      <c r="J855" s="9"/>
      <c r="K855" s="13"/>
      <c r="N855" s="20"/>
      <c r="O855" s="45"/>
    </row>
    <row r="856" spans="10:15">
      <c r="J856" s="9"/>
      <c r="K856" s="13"/>
      <c r="N856" s="20"/>
      <c r="O856" s="45"/>
    </row>
    <row r="857" spans="10:15">
      <c r="J857" s="9"/>
      <c r="K857" s="13"/>
      <c r="N857" s="20"/>
      <c r="O857" s="45"/>
    </row>
    <row r="858" spans="10:15">
      <c r="J858" s="9"/>
      <c r="K858" s="13"/>
      <c r="N858" s="20"/>
      <c r="O858" s="45"/>
    </row>
    <row r="859" spans="10:15">
      <c r="J859" s="9"/>
      <c r="K859" s="13"/>
      <c r="N859" s="20"/>
      <c r="O859" s="45"/>
    </row>
    <row r="860" spans="10:15">
      <c r="J860" s="9"/>
      <c r="K860" s="13"/>
      <c r="N860" s="20"/>
      <c r="O860" s="45"/>
    </row>
    <row r="861" spans="10:15">
      <c r="J861" s="9"/>
      <c r="K861" s="13"/>
      <c r="N861" s="20"/>
      <c r="O861" s="45"/>
    </row>
    <row r="862" spans="10:15">
      <c r="J862" s="9"/>
      <c r="K862" s="13"/>
      <c r="N862" s="20"/>
      <c r="O862" s="45"/>
    </row>
    <row r="863" spans="10:15">
      <c r="J863" s="9"/>
      <c r="K863" s="13"/>
      <c r="N863" s="20"/>
      <c r="O863" s="45"/>
    </row>
    <row r="864" spans="10:15">
      <c r="J864" s="9"/>
      <c r="K864" s="13"/>
      <c r="N864" s="20"/>
      <c r="O864" s="45"/>
    </row>
    <row r="865" spans="10:15">
      <c r="J865" s="9"/>
      <c r="K865" s="13"/>
      <c r="N865" s="20"/>
      <c r="O865" s="45"/>
    </row>
    <row r="866" spans="10:15">
      <c r="J866" s="9"/>
      <c r="K866" s="13"/>
      <c r="N866" s="20"/>
      <c r="O866" s="45"/>
    </row>
    <row r="867" spans="10:15">
      <c r="J867" s="9"/>
      <c r="K867" s="13"/>
      <c r="N867" s="20"/>
      <c r="O867" s="45"/>
    </row>
    <row r="868" spans="10:15">
      <c r="J868" s="9"/>
      <c r="K868" s="13"/>
      <c r="N868" s="20"/>
      <c r="O868" s="45"/>
    </row>
    <row r="869" spans="10:15">
      <c r="J869" s="9"/>
      <c r="K869" s="13"/>
      <c r="N869" s="20"/>
      <c r="O869" s="45"/>
    </row>
    <row r="870" spans="10:15">
      <c r="J870" s="9"/>
      <c r="K870" s="13"/>
      <c r="N870" s="20"/>
      <c r="O870" s="45"/>
    </row>
    <row r="871" spans="10:15">
      <c r="J871" s="9"/>
      <c r="K871" s="13"/>
      <c r="N871" s="20"/>
      <c r="O871" s="45"/>
    </row>
    <row r="872" spans="10:15">
      <c r="J872" s="9"/>
      <c r="K872" s="13"/>
      <c r="N872" s="20"/>
      <c r="O872" s="45"/>
    </row>
    <row r="873" spans="10:15">
      <c r="J873" s="9"/>
      <c r="K873" s="13"/>
      <c r="N873" s="20"/>
      <c r="O873" s="45"/>
    </row>
    <row r="874" spans="10:15">
      <c r="J874" s="9"/>
      <c r="K874" s="13"/>
      <c r="N874" s="20"/>
      <c r="O874" s="45"/>
    </row>
    <row r="875" spans="10:15">
      <c r="J875" s="9"/>
      <c r="K875" s="13"/>
      <c r="N875" s="20"/>
      <c r="O875" s="45"/>
    </row>
    <row r="876" spans="10:15">
      <c r="J876" s="9"/>
      <c r="K876" s="13"/>
      <c r="N876" s="20"/>
      <c r="O876" s="45"/>
    </row>
    <row r="877" spans="10:15">
      <c r="J877" s="9"/>
      <c r="K877" s="13"/>
      <c r="N877" s="20"/>
      <c r="O877" s="45"/>
    </row>
    <row r="878" spans="10:15">
      <c r="J878" s="9"/>
      <c r="K878" s="13"/>
      <c r="N878" s="20"/>
      <c r="O878" s="45"/>
    </row>
    <row r="879" spans="10:15">
      <c r="J879" s="9"/>
      <c r="K879" s="13"/>
      <c r="N879" s="20"/>
      <c r="O879" s="45"/>
    </row>
    <row r="880" spans="10:15">
      <c r="J880" s="9"/>
      <c r="K880" s="13"/>
      <c r="N880" s="20"/>
      <c r="O880" s="45"/>
    </row>
    <row r="881" spans="10:15">
      <c r="J881" s="9"/>
      <c r="K881" s="13"/>
      <c r="N881" s="20"/>
      <c r="O881" s="45"/>
    </row>
    <row r="882" spans="10:15">
      <c r="J882" s="9"/>
      <c r="K882" s="13"/>
      <c r="N882" s="20"/>
      <c r="O882" s="45"/>
    </row>
    <row r="883" spans="10:15">
      <c r="J883" s="9"/>
      <c r="K883" s="13"/>
      <c r="N883" s="20"/>
      <c r="O883" s="45"/>
    </row>
    <row r="884" spans="10:15">
      <c r="J884" s="9"/>
      <c r="K884" s="13"/>
      <c r="N884" s="20"/>
      <c r="O884" s="45"/>
    </row>
    <row r="885" spans="10:15">
      <c r="J885" s="9"/>
      <c r="K885" s="13"/>
      <c r="N885" s="20"/>
      <c r="O885" s="45"/>
    </row>
    <row r="886" spans="10:15">
      <c r="J886" s="9"/>
      <c r="K886" s="13"/>
      <c r="N886" s="20"/>
      <c r="O886" s="45"/>
    </row>
    <row r="887" spans="10:15">
      <c r="J887" s="9"/>
      <c r="K887" s="13"/>
      <c r="N887" s="20"/>
      <c r="O887" s="45"/>
    </row>
    <row r="888" spans="10:15">
      <c r="J888" s="9"/>
      <c r="K888" s="13"/>
      <c r="N888" s="20"/>
      <c r="O888" s="45"/>
    </row>
    <row r="889" spans="10:15">
      <c r="J889" s="9"/>
      <c r="K889" s="13"/>
      <c r="N889" s="20"/>
      <c r="O889" s="45"/>
    </row>
    <row r="890" spans="10:15">
      <c r="J890" s="9"/>
      <c r="K890" s="13"/>
      <c r="N890" s="20"/>
      <c r="O890" s="45"/>
    </row>
    <row r="891" spans="10:15">
      <c r="J891" s="9"/>
      <c r="K891" s="13"/>
      <c r="N891" s="20"/>
      <c r="O891" s="45"/>
    </row>
    <row r="892" spans="10:15">
      <c r="J892" s="9"/>
      <c r="K892" s="13"/>
      <c r="N892" s="20"/>
      <c r="O892" s="45"/>
    </row>
    <row r="893" spans="10:15">
      <c r="J893" s="9"/>
      <c r="K893" s="13"/>
      <c r="N893" s="20"/>
      <c r="O893" s="45"/>
    </row>
    <row r="894" spans="10:15">
      <c r="J894" s="9"/>
      <c r="K894" s="13"/>
      <c r="N894" s="20"/>
      <c r="O894" s="45"/>
    </row>
    <row r="895" spans="10:15">
      <c r="J895" s="9"/>
      <c r="K895" s="13"/>
      <c r="N895" s="20"/>
      <c r="O895" s="45"/>
    </row>
    <row r="896" spans="10:15">
      <c r="J896" s="9"/>
      <c r="K896" s="13"/>
      <c r="N896" s="20"/>
      <c r="O896" s="45"/>
    </row>
    <row r="897" spans="10:15">
      <c r="J897" s="9"/>
      <c r="K897" s="13"/>
      <c r="N897" s="20"/>
      <c r="O897" s="45"/>
    </row>
    <row r="898" spans="10:15">
      <c r="J898" s="9"/>
      <c r="K898" s="13"/>
      <c r="N898" s="20"/>
      <c r="O898" s="45"/>
    </row>
    <row r="899" spans="10:15">
      <c r="J899" s="9"/>
      <c r="K899" s="13"/>
      <c r="N899" s="20"/>
      <c r="O899" s="45"/>
    </row>
    <row r="900" spans="10:15">
      <c r="J900" s="9"/>
      <c r="K900" s="13"/>
      <c r="N900" s="20"/>
      <c r="O900" s="45"/>
    </row>
    <row r="901" spans="10:15">
      <c r="J901" s="9"/>
      <c r="K901" s="13"/>
      <c r="N901" s="20"/>
      <c r="O901" s="45"/>
    </row>
    <row r="902" spans="10:15">
      <c r="J902" s="9"/>
      <c r="K902" s="13"/>
      <c r="N902" s="20"/>
      <c r="O902" s="45"/>
    </row>
    <row r="903" spans="10:15">
      <c r="J903" s="9"/>
      <c r="K903" s="13"/>
      <c r="N903" s="20"/>
      <c r="O903" s="45"/>
    </row>
    <row r="904" spans="10:15">
      <c r="J904" s="9"/>
      <c r="K904" s="13"/>
      <c r="N904" s="20"/>
      <c r="O904" s="45"/>
    </row>
    <row r="905" spans="10:15">
      <c r="J905" s="9"/>
      <c r="K905" s="13"/>
      <c r="N905" s="20"/>
      <c r="O905" s="45"/>
    </row>
    <row r="906" spans="10:15">
      <c r="J906" s="9"/>
      <c r="K906" s="13"/>
      <c r="N906" s="20"/>
      <c r="O906" s="45"/>
    </row>
    <row r="907" spans="10:15">
      <c r="J907" s="9"/>
      <c r="K907" s="13"/>
      <c r="N907" s="20"/>
      <c r="O907" s="45"/>
    </row>
    <row r="908" spans="10:15">
      <c r="J908" s="9"/>
      <c r="K908" s="13"/>
      <c r="N908" s="20"/>
      <c r="O908" s="45"/>
    </row>
    <row r="909" spans="10:15">
      <c r="J909" s="9"/>
      <c r="K909" s="13"/>
      <c r="N909" s="20"/>
      <c r="O909" s="45"/>
    </row>
    <row r="910" spans="10:15">
      <c r="J910" s="9"/>
      <c r="K910" s="13"/>
      <c r="N910" s="20"/>
      <c r="O910" s="45"/>
    </row>
    <row r="911" spans="10:15">
      <c r="J911" s="9"/>
      <c r="K911" s="13"/>
      <c r="N911" s="20"/>
      <c r="O911" s="45"/>
    </row>
    <row r="912" spans="10:15">
      <c r="J912" s="9"/>
      <c r="K912" s="13"/>
      <c r="N912" s="20"/>
      <c r="O912" s="45"/>
    </row>
    <row r="913" spans="10:15">
      <c r="J913" s="9"/>
      <c r="K913" s="13"/>
      <c r="N913" s="20"/>
      <c r="O913" s="45"/>
    </row>
    <row r="914" spans="10:15">
      <c r="J914" s="9"/>
      <c r="K914" s="13"/>
      <c r="N914" s="20"/>
      <c r="O914" s="45"/>
    </row>
    <row r="915" spans="10:15">
      <c r="J915" s="9"/>
      <c r="K915" s="13"/>
      <c r="N915" s="20"/>
      <c r="O915" s="45"/>
    </row>
    <row r="916" spans="10:15">
      <c r="J916" s="9"/>
      <c r="K916" s="13"/>
      <c r="N916" s="20"/>
      <c r="O916" s="45"/>
    </row>
    <row r="917" spans="10:15">
      <c r="J917" s="9"/>
      <c r="K917" s="13"/>
      <c r="N917" s="20"/>
      <c r="O917" s="45"/>
    </row>
    <row r="918" spans="10:15">
      <c r="J918" s="9"/>
      <c r="K918" s="13"/>
      <c r="N918" s="20"/>
      <c r="O918" s="45"/>
    </row>
    <row r="919" spans="10:15">
      <c r="J919" s="9"/>
      <c r="K919" s="13"/>
      <c r="N919" s="20"/>
      <c r="O919" s="45"/>
    </row>
    <row r="920" spans="10:15">
      <c r="J920" s="9"/>
      <c r="K920" s="13"/>
      <c r="N920" s="20"/>
      <c r="O920" s="45"/>
    </row>
    <row r="921" spans="10:15">
      <c r="J921" s="9"/>
      <c r="K921" s="13"/>
      <c r="N921" s="20"/>
      <c r="O921" s="45"/>
    </row>
    <row r="922" spans="10:15">
      <c r="J922" s="9"/>
      <c r="K922" s="13"/>
      <c r="N922" s="20"/>
      <c r="O922" s="45"/>
    </row>
    <row r="923" spans="10:15">
      <c r="J923" s="9"/>
      <c r="K923" s="13"/>
      <c r="N923" s="20"/>
      <c r="O923" s="45"/>
    </row>
    <row r="924" spans="10:15">
      <c r="J924" s="9"/>
      <c r="K924" s="13"/>
      <c r="N924" s="20"/>
      <c r="O924" s="45"/>
    </row>
    <row r="925" spans="10:15">
      <c r="J925" s="9"/>
      <c r="K925" s="13"/>
      <c r="N925" s="20"/>
      <c r="O925" s="45"/>
    </row>
    <row r="926" spans="10:15">
      <c r="J926" s="9"/>
      <c r="K926" s="13"/>
      <c r="N926" s="20"/>
      <c r="O926" s="45"/>
    </row>
    <row r="927" spans="10:15">
      <c r="J927" s="9"/>
      <c r="K927" s="13"/>
      <c r="N927" s="20"/>
      <c r="O927" s="45"/>
    </row>
    <row r="928" spans="10:15">
      <c r="J928" s="9"/>
      <c r="K928" s="13"/>
      <c r="N928" s="20"/>
      <c r="O928" s="45"/>
    </row>
    <row r="929" spans="10:15">
      <c r="J929" s="9"/>
      <c r="K929" s="13"/>
      <c r="N929" s="20"/>
      <c r="O929" s="45"/>
    </row>
    <row r="930" spans="10:15">
      <c r="J930" s="9"/>
      <c r="K930" s="13"/>
      <c r="N930" s="20"/>
      <c r="O930" s="45"/>
    </row>
    <row r="931" spans="10:15">
      <c r="J931" s="9"/>
      <c r="K931" s="13"/>
      <c r="N931" s="20"/>
      <c r="O931" s="45"/>
    </row>
    <row r="932" spans="10:15">
      <c r="J932" s="9"/>
      <c r="K932" s="13"/>
      <c r="N932" s="20"/>
      <c r="O932" s="45"/>
    </row>
    <row r="933" spans="10:15">
      <c r="J933" s="9"/>
      <c r="K933" s="13"/>
      <c r="N933" s="20"/>
      <c r="O933" s="45"/>
    </row>
    <row r="934" spans="10:15">
      <c r="J934" s="9"/>
      <c r="K934" s="13"/>
      <c r="N934" s="20"/>
      <c r="O934" s="45"/>
    </row>
    <row r="935" spans="10:15">
      <c r="J935" s="9"/>
      <c r="K935" s="13"/>
      <c r="N935" s="20"/>
      <c r="O935" s="45"/>
    </row>
    <row r="936" spans="10:15">
      <c r="J936" s="9"/>
      <c r="K936" s="13"/>
      <c r="N936" s="20"/>
      <c r="O936" s="45"/>
    </row>
    <row r="937" spans="10:15">
      <c r="J937" s="9"/>
      <c r="K937" s="13"/>
      <c r="N937" s="20"/>
      <c r="O937" s="45"/>
    </row>
    <row r="938" spans="10:15">
      <c r="J938" s="9"/>
      <c r="K938" s="13"/>
      <c r="N938" s="20"/>
      <c r="O938" s="45"/>
    </row>
    <row r="939" spans="10:15">
      <c r="J939" s="9"/>
      <c r="K939" s="13"/>
      <c r="N939" s="20"/>
      <c r="O939" s="45"/>
    </row>
    <row r="940" spans="10:15">
      <c r="J940" s="9"/>
      <c r="K940" s="13"/>
      <c r="N940" s="20"/>
      <c r="O940" s="45"/>
    </row>
    <row r="941" spans="10:15">
      <c r="J941" s="9"/>
      <c r="K941" s="13"/>
      <c r="N941" s="20"/>
      <c r="O941" s="45"/>
    </row>
    <row r="942" spans="10:15">
      <c r="J942" s="9"/>
      <c r="K942" s="13"/>
      <c r="N942" s="20"/>
      <c r="O942" s="45"/>
    </row>
    <row r="943" spans="10:15">
      <c r="J943" s="9"/>
      <c r="K943" s="13"/>
      <c r="N943" s="20"/>
      <c r="O943" s="45"/>
    </row>
    <row r="944" spans="10:15">
      <c r="J944" s="9"/>
      <c r="K944" s="13"/>
      <c r="N944" s="20"/>
      <c r="O944" s="45"/>
    </row>
    <row r="945" spans="10:15">
      <c r="J945" s="9"/>
      <c r="K945" s="13"/>
      <c r="N945" s="20"/>
      <c r="O945" s="45"/>
    </row>
    <row r="946" spans="10:15">
      <c r="J946" s="9"/>
      <c r="K946" s="13"/>
      <c r="N946" s="20"/>
      <c r="O946" s="45"/>
    </row>
    <row r="947" spans="10:15">
      <c r="J947" s="9"/>
      <c r="K947" s="13"/>
      <c r="N947" s="20"/>
      <c r="O947" s="45"/>
    </row>
    <row r="948" spans="10:15">
      <c r="J948" s="9"/>
      <c r="K948" s="13"/>
      <c r="N948" s="20"/>
      <c r="O948" s="45"/>
    </row>
    <row r="949" spans="10:15">
      <c r="J949" s="9"/>
      <c r="K949" s="13"/>
      <c r="N949" s="20"/>
      <c r="O949" s="45"/>
    </row>
    <row r="950" spans="10:15">
      <c r="J950" s="9"/>
      <c r="K950" s="13"/>
      <c r="N950" s="20"/>
      <c r="O950" s="45"/>
    </row>
    <row r="951" spans="10:15">
      <c r="J951" s="9"/>
      <c r="K951" s="13"/>
      <c r="N951" s="20"/>
      <c r="O951" s="45"/>
    </row>
    <row r="952" spans="10:15">
      <c r="J952" s="9"/>
      <c r="K952" s="13"/>
      <c r="N952" s="20"/>
      <c r="O952" s="45"/>
    </row>
    <row r="953" spans="10:15">
      <c r="J953" s="9"/>
      <c r="K953" s="13"/>
      <c r="N953" s="20"/>
      <c r="O953" s="45"/>
    </row>
    <row r="954" spans="10:15">
      <c r="J954" s="9"/>
      <c r="K954" s="13"/>
      <c r="N954" s="20"/>
      <c r="O954" s="45"/>
    </row>
    <row r="955" spans="10:15">
      <c r="J955" s="9"/>
      <c r="K955" s="13"/>
      <c r="N955" s="20"/>
      <c r="O955" s="45"/>
    </row>
    <row r="956" spans="10:15">
      <c r="J956" s="9"/>
      <c r="K956" s="13"/>
      <c r="N956" s="20"/>
      <c r="O956" s="45"/>
    </row>
    <row r="957" spans="10:15">
      <c r="J957" s="9"/>
      <c r="K957" s="13"/>
      <c r="N957" s="20"/>
      <c r="O957" s="45"/>
    </row>
    <row r="958" spans="10:15">
      <c r="J958" s="9"/>
      <c r="K958" s="13"/>
      <c r="N958" s="20"/>
      <c r="O958" s="45"/>
    </row>
    <row r="959" spans="10:15">
      <c r="J959" s="9"/>
      <c r="K959" s="13"/>
      <c r="N959" s="20"/>
      <c r="O959" s="45"/>
    </row>
    <row r="960" spans="10:15">
      <c r="J960" s="9"/>
      <c r="K960" s="13"/>
      <c r="N960" s="20"/>
      <c r="O960" s="45"/>
    </row>
    <row r="961" spans="10:15">
      <c r="J961" s="9"/>
      <c r="K961" s="13"/>
      <c r="N961" s="20"/>
      <c r="O961" s="45"/>
    </row>
    <row r="962" spans="10:15">
      <c r="J962" s="9"/>
      <c r="K962" s="13"/>
      <c r="N962" s="20"/>
      <c r="O962" s="45"/>
    </row>
    <row r="963" spans="10:15">
      <c r="J963" s="9"/>
      <c r="K963" s="13"/>
      <c r="N963" s="20"/>
      <c r="O963" s="45"/>
    </row>
    <row r="964" spans="10:15">
      <c r="J964" s="9"/>
      <c r="K964" s="13"/>
      <c r="N964" s="20"/>
      <c r="O964" s="45"/>
    </row>
    <row r="965" spans="10:15">
      <c r="J965" s="9"/>
      <c r="K965" s="13"/>
      <c r="N965" s="20"/>
      <c r="O965" s="45"/>
    </row>
    <row r="966" spans="10:15">
      <c r="J966" s="9"/>
      <c r="K966" s="13"/>
      <c r="N966" s="20"/>
      <c r="O966" s="45"/>
    </row>
    <row r="967" spans="10:15">
      <c r="J967" s="9"/>
      <c r="K967" s="13"/>
      <c r="N967" s="20"/>
      <c r="O967" s="45"/>
    </row>
    <row r="968" spans="10:15">
      <c r="J968" s="9"/>
      <c r="K968" s="13"/>
      <c r="N968" s="20"/>
      <c r="O968" s="45"/>
    </row>
    <row r="969" spans="10:15">
      <c r="J969" s="9"/>
      <c r="K969" s="13"/>
      <c r="N969" s="20"/>
      <c r="O969" s="45"/>
    </row>
    <row r="970" spans="10:15">
      <c r="J970" s="9"/>
      <c r="K970" s="13"/>
      <c r="N970" s="20"/>
      <c r="O970" s="45"/>
    </row>
    <row r="971" spans="10:15">
      <c r="J971" s="9"/>
      <c r="K971" s="13"/>
      <c r="N971" s="20"/>
      <c r="O971" s="45"/>
    </row>
    <row r="972" spans="10:15">
      <c r="J972" s="9"/>
      <c r="K972" s="13"/>
      <c r="N972" s="20"/>
      <c r="O972" s="45"/>
    </row>
    <row r="973" spans="10:15">
      <c r="J973" s="9"/>
      <c r="K973" s="13"/>
      <c r="N973" s="20"/>
      <c r="O973" s="45"/>
    </row>
    <row r="974" spans="10:15">
      <c r="J974" s="9"/>
      <c r="K974" s="13"/>
      <c r="N974" s="20"/>
      <c r="O974" s="45"/>
    </row>
    <row r="975" spans="10:15">
      <c r="J975" s="9"/>
      <c r="K975" s="13"/>
      <c r="N975" s="20"/>
      <c r="O975" s="45"/>
    </row>
    <row r="976" spans="10:15">
      <c r="J976" s="9"/>
      <c r="K976" s="13"/>
      <c r="N976" s="20"/>
      <c r="O976" s="45"/>
    </row>
    <row r="977" spans="10:15">
      <c r="J977" s="9"/>
      <c r="K977" s="13"/>
      <c r="N977" s="20"/>
      <c r="O977" s="45"/>
    </row>
    <row r="978" spans="10:15">
      <c r="J978" s="9"/>
      <c r="K978" s="13"/>
      <c r="N978" s="20"/>
      <c r="O978" s="45"/>
    </row>
    <row r="979" spans="10:15">
      <c r="J979" s="9"/>
      <c r="K979" s="13"/>
      <c r="N979" s="20"/>
      <c r="O979" s="45"/>
    </row>
    <row r="980" spans="10:15">
      <c r="J980" s="9"/>
      <c r="K980" s="13"/>
      <c r="N980" s="20"/>
      <c r="O980" s="45"/>
    </row>
    <row r="981" spans="10:15">
      <c r="J981" s="9"/>
      <c r="K981" s="13"/>
      <c r="N981" s="20"/>
      <c r="O981" s="45"/>
    </row>
    <row r="982" spans="10:15">
      <c r="J982" s="9"/>
      <c r="K982" s="13"/>
      <c r="N982" s="20"/>
      <c r="O982" s="45"/>
    </row>
    <row r="983" spans="10:15">
      <c r="J983" s="9"/>
      <c r="K983" s="13"/>
      <c r="N983" s="20"/>
      <c r="O983" s="45"/>
    </row>
    <row r="984" spans="10:15">
      <c r="J984" s="9"/>
      <c r="K984" s="13"/>
      <c r="N984" s="20"/>
      <c r="O984" s="45"/>
    </row>
    <row r="985" spans="10:15">
      <c r="J985" s="9"/>
      <c r="K985" s="13"/>
      <c r="N985" s="20"/>
      <c r="O985" s="45"/>
    </row>
    <row r="986" spans="10:15">
      <c r="J986" s="9"/>
      <c r="K986" s="13"/>
      <c r="N986" s="20"/>
      <c r="O986" s="45"/>
    </row>
    <row r="987" spans="10:15">
      <c r="J987" s="9"/>
      <c r="K987" s="13"/>
      <c r="N987" s="20"/>
      <c r="O987" s="45"/>
    </row>
    <row r="988" spans="10:15">
      <c r="J988" s="9"/>
      <c r="K988" s="13"/>
      <c r="N988" s="20"/>
      <c r="O988" s="45"/>
    </row>
    <row r="989" spans="10:15">
      <c r="J989" s="9"/>
      <c r="K989" s="13"/>
      <c r="N989" s="20"/>
      <c r="O989" s="45"/>
    </row>
    <row r="990" spans="10:15">
      <c r="J990" s="9"/>
      <c r="K990" s="13"/>
      <c r="N990" s="20"/>
      <c r="O990" s="45"/>
    </row>
    <row r="991" spans="10:15">
      <c r="J991" s="9"/>
      <c r="K991" s="13"/>
      <c r="N991" s="20"/>
      <c r="O991" s="45"/>
    </row>
    <row r="992" spans="10:15">
      <c r="J992" s="9"/>
      <c r="K992" s="13"/>
      <c r="N992" s="20"/>
      <c r="O992" s="45"/>
    </row>
    <row r="993" spans="10:15">
      <c r="J993" s="9"/>
      <c r="K993" s="13"/>
      <c r="N993" s="20"/>
      <c r="O993" s="45"/>
    </row>
    <row r="994" spans="10:15">
      <c r="J994" s="9"/>
      <c r="K994" s="13"/>
      <c r="N994" s="20"/>
      <c r="O994" s="45"/>
    </row>
    <row r="995" spans="10:15">
      <c r="J995" s="9"/>
      <c r="K995" s="13"/>
      <c r="N995" s="20"/>
      <c r="O995" s="45"/>
    </row>
    <row r="996" spans="10:15">
      <c r="J996" s="9"/>
      <c r="K996" s="13"/>
      <c r="N996" s="20"/>
      <c r="O996" s="45"/>
    </row>
    <row r="997" spans="10:15">
      <c r="J997" s="9"/>
      <c r="K997" s="13"/>
      <c r="N997" s="20"/>
      <c r="O997" s="45"/>
    </row>
    <row r="998" spans="10:15">
      <c r="J998" s="9"/>
      <c r="K998" s="13"/>
      <c r="N998" s="20"/>
      <c r="O998" s="45"/>
    </row>
    <row r="999" spans="10:15">
      <c r="J999" s="9"/>
      <c r="K999" s="13"/>
      <c r="N999" s="20"/>
      <c r="O999" s="45"/>
    </row>
    <row r="1000" spans="10:15">
      <c r="J1000" s="9"/>
      <c r="K1000" s="13"/>
      <c r="N1000" s="20"/>
      <c r="O1000" s="45"/>
    </row>
    <row r="1001" spans="10:15">
      <c r="J1001" s="9"/>
      <c r="K1001" s="13"/>
      <c r="N1001" s="20"/>
      <c r="O1001" s="45"/>
    </row>
    <row r="1002" spans="10:15">
      <c r="J1002" s="9"/>
      <c r="K1002" s="13"/>
      <c r="N1002" s="20"/>
      <c r="O1002" s="45"/>
    </row>
    <row r="1003" spans="10:15">
      <c r="J1003" s="9"/>
      <c r="K1003" s="13"/>
      <c r="N1003" s="20"/>
      <c r="O1003" s="45"/>
    </row>
    <row r="1004" spans="10:15">
      <c r="J1004" s="9"/>
      <c r="K1004" s="13"/>
      <c r="N1004" s="20"/>
      <c r="O1004" s="45"/>
    </row>
    <row r="1005" spans="10:15">
      <c r="J1005" s="9"/>
      <c r="K1005" s="13"/>
      <c r="N1005" s="20"/>
      <c r="O1005" s="45"/>
    </row>
    <row r="1006" spans="10:15">
      <c r="J1006" s="9"/>
      <c r="K1006" s="13"/>
      <c r="N1006" s="20"/>
      <c r="O1006" s="45"/>
    </row>
    <row r="1007" spans="10:15">
      <c r="J1007" s="9"/>
      <c r="K1007" s="13"/>
      <c r="N1007" s="20"/>
      <c r="O1007" s="45"/>
    </row>
    <row r="1008" spans="10:15">
      <c r="J1008" s="9"/>
      <c r="K1008" s="13"/>
      <c r="N1008" s="20"/>
      <c r="O1008" s="45"/>
    </row>
    <row r="1009" spans="10:15">
      <c r="J1009" s="9"/>
      <c r="K1009" s="13"/>
      <c r="N1009" s="20"/>
      <c r="O1009" s="45"/>
    </row>
    <row r="1010" spans="10:15">
      <c r="J1010" s="9"/>
      <c r="K1010" s="13"/>
      <c r="N1010" s="20"/>
      <c r="O1010" s="45"/>
    </row>
    <row r="1011" spans="10:15">
      <c r="J1011" s="9"/>
      <c r="K1011" s="13"/>
      <c r="N1011" s="20"/>
      <c r="O1011" s="45"/>
    </row>
    <row r="1012" spans="10:15">
      <c r="J1012" s="9"/>
      <c r="K1012" s="13"/>
      <c r="N1012" s="20"/>
      <c r="O1012" s="45"/>
    </row>
    <row r="1013" spans="10:15">
      <c r="J1013" s="9"/>
      <c r="K1013" s="13"/>
      <c r="N1013" s="20"/>
      <c r="O1013" s="45"/>
    </row>
    <row r="1014" spans="10:15">
      <c r="J1014" s="9"/>
      <c r="K1014" s="13"/>
      <c r="N1014" s="20"/>
      <c r="O1014" s="45"/>
    </row>
    <row r="1015" spans="10:15">
      <c r="J1015" s="9"/>
      <c r="K1015" s="13"/>
      <c r="N1015" s="20"/>
      <c r="O1015" s="45"/>
    </row>
    <row r="1016" spans="10:15">
      <c r="J1016" s="9"/>
      <c r="K1016" s="13"/>
      <c r="N1016" s="20"/>
      <c r="O1016" s="45"/>
    </row>
    <row r="1017" spans="10:15">
      <c r="J1017" s="9"/>
      <c r="K1017" s="13"/>
      <c r="N1017" s="20"/>
      <c r="O1017" s="45"/>
    </row>
    <row r="1018" spans="10:15">
      <c r="J1018" s="9"/>
      <c r="K1018" s="13"/>
      <c r="N1018" s="20"/>
      <c r="O1018" s="45"/>
    </row>
    <row r="1019" spans="10:15">
      <c r="J1019" s="9"/>
      <c r="K1019" s="13"/>
      <c r="N1019" s="20"/>
      <c r="O1019" s="45"/>
    </row>
    <row r="1020" spans="10:15">
      <c r="J1020" s="9"/>
      <c r="K1020" s="13"/>
      <c r="N1020" s="20"/>
      <c r="O1020" s="45"/>
    </row>
    <row r="1021" spans="10:15">
      <c r="J1021" s="9"/>
      <c r="K1021" s="13"/>
      <c r="N1021" s="20"/>
      <c r="O1021" s="45"/>
    </row>
    <row r="1022" spans="10:15">
      <c r="J1022" s="9"/>
      <c r="K1022" s="13"/>
      <c r="N1022" s="20"/>
      <c r="O1022" s="45"/>
    </row>
    <row r="1023" spans="10:15">
      <c r="J1023" s="9"/>
      <c r="K1023" s="13"/>
      <c r="N1023" s="20"/>
      <c r="O1023" s="45"/>
    </row>
    <row r="1024" spans="10:15">
      <c r="J1024" s="9"/>
      <c r="K1024" s="13"/>
      <c r="N1024" s="20"/>
      <c r="O1024" s="45"/>
    </row>
    <row r="1025" spans="10:15">
      <c r="J1025" s="9"/>
      <c r="K1025" s="13"/>
      <c r="N1025" s="20"/>
      <c r="O1025" s="45"/>
    </row>
    <row r="1026" spans="10:15">
      <c r="J1026" s="9"/>
      <c r="K1026" s="13"/>
      <c r="N1026" s="20"/>
      <c r="O1026" s="45"/>
    </row>
    <row r="1027" spans="10:15">
      <c r="J1027" s="9"/>
      <c r="K1027" s="13"/>
      <c r="N1027" s="20"/>
      <c r="O1027" s="45"/>
    </row>
    <row r="1028" spans="10:15">
      <c r="J1028" s="9"/>
      <c r="K1028" s="13"/>
      <c r="N1028" s="20"/>
      <c r="O1028" s="45"/>
    </row>
    <row r="1029" spans="10:15">
      <c r="J1029" s="9"/>
      <c r="K1029" s="13"/>
      <c r="N1029" s="20"/>
      <c r="O1029" s="45"/>
    </row>
    <row r="1030" spans="10:15">
      <c r="J1030" s="9"/>
      <c r="K1030" s="13"/>
      <c r="N1030" s="20"/>
      <c r="O1030" s="45"/>
    </row>
    <row r="1031" spans="10:15">
      <c r="J1031" s="9"/>
      <c r="K1031" s="13"/>
      <c r="N1031" s="20"/>
      <c r="O1031" s="45"/>
    </row>
    <row r="1032" spans="10:15">
      <c r="J1032" s="9"/>
      <c r="K1032" s="13"/>
      <c r="N1032" s="20"/>
      <c r="O1032" s="45"/>
    </row>
    <row r="1033" spans="10:15">
      <c r="J1033" s="9"/>
      <c r="K1033" s="13"/>
      <c r="N1033" s="20"/>
      <c r="O1033" s="45"/>
    </row>
    <row r="1034" spans="10:15">
      <c r="J1034" s="9"/>
      <c r="K1034" s="13"/>
      <c r="N1034" s="20"/>
      <c r="O1034" s="45"/>
    </row>
    <row r="1035" spans="10:15">
      <c r="J1035" s="9"/>
      <c r="K1035" s="13"/>
      <c r="N1035" s="20"/>
      <c r="O1035" s="45"/>
    </row>
    <row r="1036" spans="10:15">
      <c r="J1036" s="9"/>
      <c r="K1036" s="13"/>
      <c r="N1036" s="20"/>
      <c r="O1036" s="45"/>
    </row>
    <row r="1037" spans="10:15">
      <c r="J1037" s="9"/>
      <c r="K1037" s="13"/>
      <c r="N1037" s="20"/>
      <c r="O1037" s="45"/>
    </row>
    <row r="1038" spans="10:15">
      <c r="J1038" s="9"/>
      <c r="K1038" s="13"/>
      <c r="N1038" s="20"/>
      <c r="O1038" s="45"/>
    </row>
    <row r="1039" spans="10:15">
      <c r="J1039" s="9"/>
      <c r="K1039" s="13"/>
      <c r="N1039" s="20"/>
      <c r="O1039" s="45"/>
    </row>
    <row r="1040" spans="10:15">
      <c r="J1040" s="9"/>
      <c r="K1040" s="13"/>
      <c r="N1040" s="20"/>
      <c r="O1040" s="45"/>
    </row>
    <row r="1041" spans="10:15">
      <c r="J1041" s="9"/>
      <c r="K1041" s="13"/>
      <c r="N1041" s="20"/>
      <c r="O1041" s="45"/>
    </row>
    <row r="1042" spans="10:15">
      <c r="J1042" s="9"/>
      <c r="K1042" s="13"/>
      <c r="N1042" s="20"/>
      <c r="O1042" s="45"/>
    </row>
    <row r="1043" spans="10:15">
      <c r="J1043" s="9"/>
      <c r="K1043" s="13"/>
      <c r="N1043" s="20"/>
      <c r="O1043" s="45"/>
    </row>
    <row r="1044" spans="10:15">
      <c r="J1044" s="9"/>
      <c r="K1044" s="13"/>
      <c r="N1044" s="20"/>
      <c r="O1044" s="45"/>
    </row>
    <row r="1045" spans="10:15">
      <c r="J1045" s="9"/>
      <c r="K1045" s="13"/>
      <c r="N1045" s="20"/>
      <c r="O1045" s="45"/>
    </row>
    <row r="1046" spans="10:15">
      <c r="J1046" s="9"/>
      <c r="K1046" s="13"/>
      <c r="N1046" s="20"/>
      <c r="O1046" s="45"/>
    </row>
    <row r="1047" spans="10:15">
      <c r="J1047" s="9"/>
      <c r="K1047" s="13"/>
      <c r="N1047" s="20"/>
      <c r="O1047" s="45"/>
    </row>
    <row r="1048" spans="10:15">
      <c r="J1048" s="9"/>
      <c r="K1048" s="13"/>
      <c r="N1048" s="20"/>
      <c r="O1048" s="45"/>
    </row>
    <row r="1049" spans="10:15">
      <c r="J1049" s="9"/>
      <c r="K1049" s="13"/>
      <c r="N1049" s="20"/>
      <c r="O1049" s="45"/>
    </row>
    <row r="1050" spans="10:15">
      <c r="J1050" s="9"/>
      <c r="K1050" s="13"/>
      <c r="N1050" s="20"/>
      <c r="O1050" s="45"/>
    </row>
    <row r="1051" spans="10:15">
      <c r="J1051" s="9"/>
      <c r="K1051" s="13"/>
      <c r="N1051" s="20"/>
      <c r="O1051" s="45"/>
    </row>
    <row r="1052" spans="10:15">
      <c r="J1052" s="9"/>
      <c r="K1052" s="13"/>
      <c r="N1052" s="20"/>
      <c r="O1052" s="45"/>
    </row>
    <row r="1053" spans="10:15">
      <c r="J1053" s="9"/>
      <c r="K1053" s="13"/>
      <c r="N1053" s="20"/>
      <c r="O1053" s="45"/>
    </row>
    <row r="1054" spans="10:15">
      <c r="J1054" s="9"/>
      <c r="K1054" s="13"/>
      <c r="N1054" s="20"/>
      <c r="O1054" s="45"/>
    </row>
    <row r="1055" spans="10:15">
      <c r="J1055" s="9"/>
      <c r="K1055" s="13"/>
      <c r="N1055" s="20"/>
      <c r="O1055" s="45"/>
    </row>
    <row r="1056" spans="10:15">
      <c r="J1056" s="9"/>
      <c r="K1056" s="13"/>
      <c r="N1056" s="20"/>
      <c r="O1056" s="45"/>
    </row>
    <row r="1057" spans="10:15">
      <c r="J1057" s="9"/>
      <c r="K1057" s="13"/>
      <c r="N1057" s="20"/>
      <c r="O1057" s="45"/>
    </row>
    <row r="1058" spans="10:15">
      <c r="J1058" s="9"/>
      <c r="K1058" s="13"/>
      <c r="N1058" s="20"/>
      <c r="O1058" s="45"/>
    </row>
    <row r="1059" spans="10:15">
      <c r="J1059" s="9"/>
      <c r="K1059" s="13"/>
      <c r="N1059" s="20"/>
      <c r="O1059" s="45"/>
    </row>
    <row r="1060" spans="10:15">
      <c r="J1060" s="9"/>
      <c r="K1060" s="13"/>
      <c r="N1060" s="20"/>
      <c r="O1060" s="45"/>
    </row>
    <row r="1061" spans="10:15">
      <c r="J1061" s="9"/>
      <c r="K1061" s="13"/>
      <c r="N1061" s="20"/>
      <c r="O1061" s="45"/>
    </row>
    <row r="1062" spans="10:15">
      <c r="J1062" s="9"/>
      <c r="K1062" s="13"/>
      <c r="N1062" s="20"/>
      <c r="O1062" s="45"/>
    </row>
    <row r="1063" spans="10:15">
      <c r="J1063" s="9"/>
      <c r="K1063" s="13"/>
      <c r="N1063" s="20"/>
      <c r="O1063" s="45"/>
    </row>
    <row r="1064" spans="10:15">
      <c r="J1064" s="9"/>
      <c r="K1064" s="13"/>
      <c r="N1064" s="20"/>
      <c r="O1064" s="45"/>
    </row>
    <row r="1065" spans="10:15">
      <c r="J1065" s="9"/>
      <c r="K1065" s="13"/>
      <c r="N1065" s="20"/>
      <c r="O1065" s="45"/>
    </row>
    <row r="1066" spans="10:15">
      <c r="J1066" s="9"/>
      <c r="K1066" s="13"/>
      <c r="N1066" s="20"/>
      <c r="O1066" s="45"/>
    </row>
    <row r="1067" spans="10:15">
      <c r="J1067" s="9"/>
      <c r="K1067" s="13"/>
      <c r="N1067" s="20"/>
      <c r="O1067" s="45"/>
    </row>
    <row r="1068" spans="10:15">
      <c r="J1068" s="9"/>
      <c r="K1068" s="13"/>
      <c r="N1068" s="20"/>
      <c r="O1068" s="45"/>
    </row>
    <row r="1069" spans="10:15">
      <c r="J1069" s="9"/>
      <c r="K1069" s="13"/>
      <c r="N1069" s="20"/>
      <c r="O1069" s="45"/>
    </row>
    <row r="1070" spans="10:15">
      <c r="J1070" s="9"/>
      <c r="K1070" s="13"/>
      <c r="N1070" s="20"/>
      <c r="O1070" s="45"/>
    </row>
    <row r="1071" spans="10:15">
      <c r="J1071" s="9"/>
      <c r="K1071" s="13"/>
      <c r="N1071" s="20"/>
      <c r="O1071" s="45"/>
    </row>
    <row r="1072" spans="10:15">
      <c r="J1072" s="9"/>
      <c r="K1072" s="13"/>
      <c r="N1072" s="20"/>
      <c r="O1072" s="45"/>
    </row>
    <row r="1073" spans="10:15">
      <c r="J1073" s="9"/>
      <c r="K1073" s="13"/>
      <c r="N1073" s="20"/>
      <c r="O1073" s="45"/>
    </row>
    <row r="1074" spans="10:15">
      <c r="J1074" s="9"/>
      <c r="K1074" s="13"/>
      <c r="N1074" s="20"/>
      <c r="O1074" s="45"/>
    </row>
    <row r="1075" spans="10:15">
      <c r="J1075" s="9"/>
      <c r="K1075" s="13"/>
      <c r="N1075" s="20"/>
      <c r="O1075" s="45"/>
    </row>
    <row r="1076" spans="10:15">
      <c r="J1076" s="9"/>
      <c r="K1076" s="13"/>
      <c r="N1076" s="20"/>
      <c r="O1076" s="45"/>
    </row>
    <row r="1077" spans="10:15">
      <c r="J1077" s="9"/>
      <c r="K1077" s="13"/>
      <c r="N1077" s="20"/>
      <c r="O1077" s="45"/>
    </row>
    <row r="1078" spans="10:15">
      <c r="J1078" s="9"/>
      <c r="K1078" s="13"/>
      <c r="N1078" s="20"/>
      <c r="O1078" s="45"/>
    </row>
    <row r="1079" spans="10:15">
      <c r="J1079" s="9"/>
      <c r="K1079" s="13"/>
      <c r="N1079" s="20"/>
      <c r="O1079" s="45"/>
    </row>
    <row r="1080" spans="10:15">
      <c r="J1080" s="9"/>
      <c r="K1080" s="13"/>
      <c r="N1080" s="20"/>
      <c r="O1080" s="45"/>
    </row>
    <row r="1081" spans="10:15">
      <c r="J1081" s="9"/>
      <c r="K1081" s="13"/>
      <c r="N1081" s="20"/>
      <c r="O1081" s="45"/>
    </row>
    <row r="1082" spans="10:15">
      <c r="J1082" s="9"/>
      <c r="K1082" s="13"/>
      <c r="N1082" s="20"/>
      <c r="O1082" s="45"/>
    </row>
    <row r="1083" spans="10:15">
      <c r="J1083" s="9"/>
      <c r="K1083" s="13"/>
      <c r="N1083" s="20"/>
      <c r="O1083" s="45"/>
    </row>
    <row r="1084" spans="10:15">
      <c r="J1084" s="9"/>
      <c r="K1084" s="13"/>
      <c r="N1084" s="20"/>
      <c r="O1084" s="45"/>
    </row>
    <row r="1085" spans="10:15">
      <c r="J1085" s="9"/>
      <c r="K1085" s="13"/>
      <c r="N1085" s="20"/>
      <c r="O1085" s="45"/>
    </row>
    <row r="1086" spans="10:15">
      <c r="J1086" s="9"/>
      <c r="K1086" s="13"/>
      <c r="N1086" s="20"/>
      <c r="O1086" s="45"/>
    </row>
    <row r="1087" spans="10:15">
      <c r="J1087" s="9"/>
      <c r="K1087" s="13"/>
      <c r="N1087" s="20"/>
      <c r="O1087" s="45"/>
    </row>
    <row r="1088" spans="10:15">
      <c r="J1088" s="9"/>
      <c r="K1088" s="13"/>
      <c r="N1088" s="20"/>
      <c r="O1088" s="45"/>
    </row>
    <row r="1089" spans="10:15">
      <c r="J1089" s="9"/>
      <c r="K1089" s="13"/>
      <c r="N1089" s="20"/>
      <c r="O1089" s="45"/>
    </row>
    <row r="1090" spans="10:15">
      <c r="J1090" s="9"/>
      <c r="K1090" s="13"/>
      <c r="N1090" s="20"/>
      <c r="O1090" s="45"/>
    </row>
    <row r="1091" spans="10:15">
      <c r="J1091" s="9"/>
      <c r="K1091" s="13"/>
      <c r="N1091" s="20"/>
      <c r="O1091" s="45"/>
    </row>
    <row r="1092" spans="10:15">
      <c r="J1092" s="9"/>
      <c r="K1092" s="13"/>
      <c r="N1092" s="20"/>
      <c r="O1092" s="45"/>
    </row>
    <row r="1093" spans="10:15">
      <c r="J1093" s="9"/>
      <c r="K1093" s="13"/>
      <c r="N1093" s="20"/>
      <c r="O1093" s="45"/>
    </row>
    <row r="1094" spans="10:15">
      <c r="J1094" s="9"/>
      <c r="K1094" s="13"/>
      <c r="N1094" s="20"/>
      <c r="O1094" s="45"/>
    </row>
    <row r="1095" spans="10:15">
      <c r="J1095" s="9"/>
      <c r="K1095" s="13"/>
      <c r="N1095" s="20"/>
      <c r="O1095" s="45"/>
    </row>
    <row r="1096" spans="10:15">
      <c r="J1096" s="9"/>
      <c r="K1096" s="13"/>
      <c r="N1096" s="20"/>
      <c r="O1096" s="45"/>
    </row>
    <row r="1097" spans="10:15">
      <c r="J1097" s="9"/>
      <c r="K1097" s="13"/>
      <c r="N1097" s="20"/>
      <c r="O1097" s="45"/>
    </row>
    <row r="1098" spans="10:15">
      <c r="J1098" s="9"/>
      <c r="K1098" s="13"/>
      <c r="N1098" s="20"/>
      <c r="O1098" s="45"/>
    </row>
    <row r="1099" spans="10:15">
      <c r="J1099" s="9"/>
      <c r="K1099" s="13"/>
      <c r="N1099" s="20"/>
      <c r="O1099" s="45"/>
    </row>
    <row r="1100" spans="10:15">
      <c r="J1100" s="9"/>
      <c r="K1100" s="13"/>
      <c r="N1100" s="20"/>
      <c r="O1100" s="45"/>
    </row>
    <row r="1101" spans="10:15">
      <c r="J1101" s="9"/>
      <c r="K1101" s="13"/>
      <c r="N1101" s="20"/>
      <c r="O1101" s="45"/>
    </row>
    <row r="1102" spans="10:15">
      <c r="J1102" s="9"/>
      <c r="K1102" s="13"/>
      <c r="N1102" s="20"/>
      <c r="O1102" s="45"/>
    </row>
    <row r="1103" spans="10:15">
      <c r="J1103" s="9"/>
      <c r="K1103" s="13"/>
      <c r="N1103" s="20"/>
      <c r="O1103" s="45"/>
    </row>
    <row r="1104" spans="10:15">
      <c r="J1104" s="9"/>
      <c r="K1104" s="13"/>
      <c r="N1104" s="20"/>
      <c r="O1104" s="45"/>
    </row>
    <row r="1105" spans="10:15">
      <c r="J1105" s="9"/>
      <c r="K1105" s="13"/>
      <c r="N1105" s="20"/>
      <c r="O1105" s="45"/>
    </row>
    <row r="1106" spans="10:15">
      <c r="J1106" s="9"/>
      <c r="K1106" s="13"/>
      <c r="N1106" s="20"/>
      <c r="O1106" s="45"/>
    </row>
    <row r="1107" spans="10:15">
      <c r="J1107" s="9"/>
      <c r="K1107" s="13"/>
      <c r="N1107" s="20"/>
      <c r="O1107" s="45"/>
    </row>
    <row r="1108" spans="10:15">
      <c r="J1108" s="9"/>
      <c r="K1108" s="13"/>
      <c r="N1108" s="20"/>
      <c r="O1108" s="45"/>
    </row>
    <row r="1109" spans="10:15">
      <c r="J1109" s="9"/>
      <c r="K1109" s="13"/>
      <c r="N1109" s="20"/>
      <c r="O1109" s="45"/>
    </row>
    <row r="1110" spans="10:15">
      <c r="J1110" s="9"/>
      <c r="K1110" s="13"/>
      <c r="N1110" s="20"/>
      <c r="O1110" s="45"/>
    </row>
    <row r="1111" spans="10:15">
      <c r="J1111" s="9"/>
      <c r="K1111" s="13"/>
      <c r="N1111" s="20"/>
      <c r="O1111" s="45"/>
    </row>
    <row r="1112" spans="10:15">
      <c r="J1112" s="9"/>
      <c r="K1112" s="13"/>
      <c r="N1112" s="20"/>
      <c r="O1112" s="45"/>
    </row>
    <row r="1113" spans="10:15">
      <c r="J1113" s="9"/>
      <c r="K1113" s="13"/>
      <c r="N1113" s="20"/>
      <c r="O1113" s="45"/>
    </row>
    <row r="1114" spans="10:15">
      <c r="J1114" s="9"/>
      <c r="K1114" s="13"/>
      <c r="N1114" s="20"/>
      <c r="O1114" s="45"/>
    </row>
    <row r="1115" spans="10:15">
      <c r="J1115" s="9"/>
      <c r="K1115" s="13"/>
      <c r="N1115" s="20"/>
      <c r="O1115" s="45"/>
    </row>
    <row r="1116" spans="10:15">
      <c r="J1116" s="9"/>
      <c r="K1116" s="13"/>
      <c r="N1116" s="20"/>
      <c r="O1116" s="45"/>
    </row>
    <row r="1117" spans="10:15">
      <c r="J1117" s="9"/>
      <c r="K1117" s="13"/>
      <c r="N1117" s="20"/>
      <c r="O1117" s="45"/>
    </row>
    <row r="1118" spans="10:15">
      <c r="J1118" s="9"/>
      <c r="K1118" s="13"/>
      <c r="N1118" s="20"/>
      <c r="O1118" s="45"/>
    </row>
    <row r="1119" spans="10:15">
      <c r="J1119" s="9"/>
      <c r="K1119" s="13"/>
      <c r="N1119" s="20"/>
      <c r="O1119" s="45"/>
    </row>
    <row r="1120" spans="10:15">
      <c r="J1120" s="9"/>
      <c r="K1120" s="13"/>
      <c r="N1120" s="20"/>
      <c r="O1120" s="45"/>
    </row>
    <row r="1121" spans="10:15">
      <c r="J1121" s="9"/>
      <c r="K1121" s="13"/>
      <c r="N1121" s="20"/>
      <c r="O1121" s="45"/>
    </row>
    <row r="1122" spans="10:15">
      <c r="J1122" s="9"/>
      <c r="K1122" s="13"/>
      <c r="N1122" s="20"/>
      <c r="O1122" s="45"/>
    </row>
    <row r="1123" spans="10:15">
      <c r="J1123" s="9"/>
      <c r="K1123" s="13"/>
      <c r="N1123" s="20"/>
      <c r="O1123" s="45"/>
    </row>
    <row r="1124" spans="10:15">
      <c r="J1124" s="9"/>
      <c r="K1124" s="13"/>
      <c r="N1124" s="20"/>
      <c r="O1124" s="45"/>
    </row>
    <row r="1125" spans="10:15">
      <c r="J1125" s="9"/>
      <c r="K1125" s="13"/>
      <c r="N1125" s="20"/>
      <c r="O1125" s="45"/>
    </row>
    <row r="1126" spans="10:15">
      <c r="J1126" s="9"/>
      <c r="K1126" s="13"/>
      <c r="N1126" s="20"/>
      <c r="O1126" s="45"/>
    </row>
    <row r="1127" spans="10:15">
      <c r="J1127" s="9"/>
      <c r="K1127" s="13"/>
      <c r="N1127" s="20"/>
      <c r="O1127" s="45"/>
    </row>
    <row r="1128" spans="10:15">
      <c r="J1128" s="9"/>
      <c r="K1128" s="13"/>
      <c r="N1128" s="20"/>
      <c r="O1128" s="45"/>
    </row>
    <row r="1129" spans="10:15">
      <c r="J1129" s="9"/>
      <c r="K1129" s="13"/>
      <c r="N1129" s="20"/>
      <c r="O1129" s="45"/>
    </row>
    <row r="1130" spans="10:15">
      <c r="J1130" s="9"/>
      <c r="K1130" s="13"/>
      <c r="N1130" s="20"/>
      <c r="O1130" s="45"/>
    </row>
    <row r="1131" spans="10:15">
      <c r="J1131" s="9"/>
      <c r="K1131" s="13"/>
      <c r="N1131" s="20"/>
      <c r="O1131" s="45"/>
    </row>
    <row r="1132" spans="10:15">
      <c r="J1132" s="9"/>
      <c r="K1132" s="13"/>
      <c r="N1132" s="20"/>
      <c r="O1132" s="45"/>
    </row>
    <row r="1133" spans="10:15">
      <c r="J1133" s="9"/>
      <c r="K1133" s="13"/>
      <c r="N1133" s="20"/>
      <c r="O1133" s="45"/>
    </row>
    <row r="1134" spans="10:15">
      <c r="J1134" s="9"/>
      <c r="K1134" s="13"/>
      <c r="N1134" s="20"/>
      <c r="O1134" s="45"/>
    </row>
    <row r="1135" spans="10:15">
      <c r="J1135" s="9"/>
      <c r="K1135" s="13"/>
      <c r="N1135" s="20"/>
      <c r="O1135" s="45"/>
    </row>
    <row r="1136" spans="10:15">
      <c r="J1136" s="9"/>
      <c r="K1136" s="13"/>
      <c r="N1136" s="20"/>
      <c r="O1136" s="45"/>
    </row>
    <row r="1137" spans="10:15">
      <c r="J1137" s="9"/>
      <c r="K1137" s="13"/>
      <c r="N1137" s="20"/>
      <c r="O1137" s="45"/>
    </row>
    <row r="1138" spans="10:15">
      <c r="J1138" s="9"/>
      <c r="K1138" s="13"/>
      <c r="N1138" s="20"/>
      <c r="O1138" s="45"/>
    </row>
    <row r="1139" spans="10:15">
      <c r="J1139" s="9"/>
      <c r="K1139" s="13"/>
      <c r="N1139" s="20"/>
      <c r="O1139" s="45"/>
    </row>
    <row r="1140" spans="10:15">
      <c r="J1140" s="9"/>
      <c r="K1140" s="13"/>
      <c r="N1140" s="20"/>
      <c r="O1140" s="45"/>
    </row>
    <row r="1141" spans="10:15">
      <c r="J1141" s="9"/>
      <c r="K1141" s="13"/>
      <c r="N1141" s="20"/>
      <c r="O1141" s="45"/>
    </row>
    <row r="1142" spans="10:15">
      <c r="J1142" s="9"/>
      <c r="K1142" s="13"/>
      <c r="N1142" s="20"/>
      <c r="O1142" s="45"/>
    </row>
    <row r="1143" spans="10:15">
      <c r="J1143" s="9"/>
      <c r="K1143" s="13"/>
      <c r="N1143" s="20"/>
      <c r="O1143" s="45"/>
    </row>
    <row r="1144" spans="10:15">
      <c r="J1144" s="9"/>
      <c r="K1144" s="13"/>
      <c r="N1144" s="20"/>
      <c r="O1144" s="45"/>
    </row>
    <row r="1145" spans="10:15">
      <c r="J1145" s="9"/>
      <c r="K1145" s="13"/>
      <c r="N1145" s="20"/>
      <c r="O1145" s="45"/>
    </row>
    <row r="1146" spans="10:15">
      <c r="J1146" s="9"/>
      <c r="K1146" s="13"/>
      <c r="N1146" s="20"/>
      <c r="O1146" s="45"/>
    </row>
    <row r="1147" spans="10:15">
      <c r="J1147" s="9"/>
      <c r="K1147" s="13"/>
      <c r="N1147" s="20"/>
      <c r="O1147" s="45"/>
    </row>
    <row r="1148" spans="10:15">
      <c r="J1148" s="9"/>
      <c r="K1148" s="13"/>
      <c r="N1148" s="20"/>
      <c r="O1148" s="45"/>
    </row>
    <row r="1149" spans="10:15">
      <c r="J1149" s="9"/>
      <c r="K1149" s="13"/>
      <c r="N1149" s="20"/>
      <c r="O1149" s="45"/>
    </row>
    <row r="1150" spans="10:15">
      <c r="J1150" s="9"/>
      <c r="K1150" s="13"/>
      <c r="N1150" s="20"/>
      <c r="O1150" s="45"/>
    </row>
    <row r="1151" spans="10:15">
      <c r="J1151" s="9"/>
      <c r="K1151" s="13"/>
      <c r="N1151" s="20"/>
      <c r="O1151" s="45"/>
    </row>
    <row r="1152" spans="10:15">
      <c r="J1152" s="9"/>
      <c r="K1152" s="13"/>
      <c r="N1152" s="20"/>
      <c r="O1152" s="45"/>
    </row>
    <row r="1153" spans="10:15">
      <c r="J1153" s="9"/>
      <c r="K1153" s="13"/>
      <c r="N1153" s="20"/>
      <c r="O1153" s="45"/>
    </row>
    <row r="1154" spans="10:15">
      <c r="J1154" s="9"/>
      <c r="K1154" s="13"/>
      <c r="N1154" s="20"/>
      <c r="O1154" s="45"/>
    </row>
    <row r="1155" spans="10:15">
      <c r="J1155" s="9"/>
      <c r="K1155" s="13"/>
      <c r="N1155" s="20"/>
      <c r="O1155" s="45"/>
    </row>
    <row r="1156" spans="10:15">
      <c r="J1156" s="9"/>
      <c r="K1156" s="13"/>
      <c r="N1156" s="20"/>
      <c r="O1156" s="45"/>
    </row>
    <row r="1157" spans="10:15">
      <c r="J1157" s="9"/>
      <c r="K1157" s="13"/>
      <c r="N1157" s="20"/>
      <c r="O1157" s="45"/>
    </row>
    <row r="1158" spans="10:15">
      <c r="J1158" s="9"/>
      <c r="K1158" s="13"/>
      <c r="N1158" s="20"/>
      <c r="O1158" s="45"/>
    </row>
    <row r="1159" spans="10:15">
      <c r="J1159" s="9"/>
      <c r="K1159" s="13"/>
      <c r="N1159" s="20"/>
      <c r="O1159" s="45"/>
    </row>
    <row r="1160" spans="10:15">
      <c r="J1160" s="9"/>
      <c r="K1160" s="13"/>
      <c r="N1160" s="20"/>
      <c r="O1160" s="45"/>
    </row>
    <row r="1161" spans="10:15">
      <c r="J1161" s="9"/>
      <c r="K1161" s="13"/>
      <c r="N1161" s="20"/>
      <c r="O1161" s="45"/>
    </row>
    <row r="1162" spans="10:15">
      <c r="J1162" s="9"/>
      <c r="K1162" s="13"/>
      <c r="N1162" s="20"/>
      <c r="O1162" s="45"/>
    </row>
    <row r="1163" spans="10:15">
      <c r="J1163" s="9"/>
      <c r="K1163" s="13"/>
      <c r="N1163" s="20"/>
      <c r="O1163" s="45"/>
    </row>
    <row r="1164" spans="10:15">
      <c r="J1164" s="9"/>
      <c r="K1164" s="13"/>
      <c r="N1164" s="20"/>
      <c r="O1164" s="45"/>
    </row>
    <row r="1165" spans="10:15">
      <c r="J1165" s="9"/>
      <c r="K1165" s="13"/>
      <c r="N1165" s="20"/>
      <c r="O1165" s="45"/>
    </row>
    <row r="1166" spans="10:15">
      <c r="J1166" s="9"/>
      <c r="K1166" s="13"/>
      <c r="N1166" s="20"/>
      <c r="O1166" s="45"/>
    </row>
    <row r="1167" spans="10:15">
      <c r="J1167" s="9"/>
      <c r="K1167" s="13"/>
      <c r="N1167" s="20"/>
      <c r="O1167" s="45"/>
    </row>
    <row r="1168" spans="10:15">
      <c r="J1168" s="9"/>
      <c r="K1168" s="13"/>
      <c r="N1168" s="20"/>
      <c r="O1168" s="45"/>
    </row>
    <row r="1169" spans="10:15">
      <c r="J1169" s="9"/>
      <c r="K1169" s="13"/>
      <c r="N1169" s="20"/>
      <c r="O1169" s="45"/>
    </row>
    <row r="1170" spans="10:15">
      <c r="J1170" s="9"/>
      <c r="K1170" s="13"/>
      <c r="N1170" s="20"/>
      <c r="O1170" s="45"/>
    </row>
    <row r="1171" spans="10:15">
      <c r="J1171" s="9"/>
      <c r="K1171" s="13"/>
      <c r="N1171" s="20"/>
      <c r="O1171" s="45"/>
    </row>
    <row r="1172" spans="10:15">
      <c r="J1172" s="9"/>
      <c r="K1172" s="13"/>
      <c r="N1172" s="20"/>
      <c r="O1172" s="45"/>
    </row>
    <row r="1173" spans="10:15">
      <c r="J1173" s="9"/>
      <c r="K1173" s="13"/>
      <c r="N1173" s="20"/>
      <c r="O1173" s="45"/>
    </row>
    <row r="1174" spans="10:15">
      <c r="J1174" s="9"/>
      <c r="K1174" s="13"/>
      <c r="N1174" s="20"/>
      <c r="O1174" s="45"/>
    </row>
    <row r="1175" spans="10:15">
      <c r="J1175" s="9"/>
      <c r="K1175" s="13"/>
      <c r="N1175" s="20"/>
      <c r="O1175" s="45"/>
    </row>
    <row r="1176" spans="10:15">
      <c r="J1176" s="9"/>
      <c r="K1176" s="13"/>
      <c r="N1176" s="20"/>
      <c r="O1176" s="45"/>
    </row>
    <row r="1177" spans="10:15">
      <c r="J1177" s="9"/>
      <c r="K1177" s="13"/>
      <c r="N1177" s="20"/>
      <c r="O1177" s="45"/>
    </row>
    <row r="1178" spans="10:15">
      <c r="J1178" s="9"/>
      <c r="K1178" s="13"/>
      <c r="N1178" s="20"/>
      <c r="O1178" s="45"/>
    </row>
    <row r="1179" spans="10:15">
      <c r="J1179" s="9"/>
      <c r="K1179" s="13"/>
      <c r="N1179" s="20"/>
      <c r="O1179" s="45"/>
    </row>
    <row r="1180" spans="10:15">
      <c r="J1180" s="9"/>
      <c r="K1180" s="13"/>
      <c r="N1180" s="20"/>
      <c r="O1180" s="45"/>
    </row>
    <row r="1181" spans="10:15">
      <c r="J1181" s="9"/>
      <c r="K1181" s="13"/>
      <c r="N1181" s="20"/>
      <c r="O1181" s="45"/>
    </row>
    <row r="1182" spans="10:15">
      <c r="J1182" s="9"/>
      <c r="K1182" s="13"/>
      <c r="N1182" s="20"/>
      <c r="O1182" s="45"/>
    </row>
    <row r="1183" spans="10:15">
      <c r="J1183" s="9"/>
      <c r="K1183" s="13"/>
      <c r="N1183" s="20"/>
      <c r="O1183" s="45"/>
    </row>
    <row r="1184" spans="10:15">
      <c r="J1184" s="9"/>
      <c r="K1184" s="13"/>
      <c r="N1184" s="20"/>
      <c r="O1184" s="45"/>
    </row>
    <row r="1185" spans="10:15">
      <c r="J1185" s="9"/>
      <c r="K1185" s="13"/>
      <c r="N1185" s="20"/>
      <c r="O1185" s="45"/>
    </row>
    <row r="1186" spans="10:15">
      <c r="J1186" s="9"/>
      <c r="K1186" s="13"/>
      <c r="N1186" s="20"/>
      <c r="O1186" s="45"/>
    </row>
    <row r="1187" spans="10:15">
      <c r="J1187" s="9"/>
      <c r="K1187" s="13"/>
      <c r="N1187" s="20"/>
      <c r="O1187" s="45"/>
    </row>
    <row r="1188" spans="10:15">
      <c r="J1188" s="9"/>
      <c r="K1188" s="13"/>
      <c r="N1188" s="20"/>
      <c r="O1188" s="45"/>
    </row>
    <row r="1189" spans="10:15">
      <c r="J1189" s="9"/>
      <c r="K1189" s="13"/>
      <c r="N1189" s="20"/>
      <c r="O1189" s="45"/>
    </row>
    <row r="1190" spans="10:15">
      <c r="J1190" s="9"/>
      <c r="K1190" s="13"/>
      <c r="N1190" s="20"/>
      <c r="O1190" s="45"/>
    </row>
    <row r="1191" spans="10:15">
      <c r="J1191" s="9"/>
      <c r="K1191" s="13"/>
      <c r="N1191" s="20"/>
      <c r="O1191" s="45"/>
    </row>
    <row r="1192" spans="10:15">
      <c r="J1192" s="9"/>
      <c r="K1192" s="13"/>
      <c r="N1192" s="20"/>
      <c r="O1192" s="45"/>
    </row>
    <row r="1193" spans="10:15">
      <c r="J1193" s="9"/>
      <c r="K1193" s="13"/>
      <c r="N1193" s="20"/>
      <c r="O1193" s="45"/>
    </row>
    <row r="1194" spans="10:15">
      <c r="J1194" s="9"/>
      <c r="K1194" s="13"/>
      <c r="N1194" s="20"/>
      <c r="O1194" s="45"/>
    </row>
    <row r="1195" spans="10:15">
      <c r="J1195" s="9"/>
      <c r="K1195" s="13"/>
      <c r="N1195" s="20"/>
      <c r="O1195" s="45"/>
    </row>
    <row r="1196" spans="10:15">
      <c r="J1196" s="9"/>
      <c r="K1196" s="13"/>
      <c r="N1196" s="20"/>
      <c r="O1196" s="45"/>
    </row>
    <row r="1197" spans="10:15">
      <c r="J1197" s="9"/>
      <c r="K1197" s="13"/>
      <c r="N1197" s="20"/>
      <c r="O1197" s="45"/>
    </row>
    <row r="1198" spans="10:15">
      <c r="J1198" s="9"/>
      <c r="K1198" s="13"/>
      <c r="N1198" s="20"/>
      <c r="O1198" s="45"/>
    </row>
    <row r="1199" spans="10:15">
      <c r="J1199" s="9"/>
      <c r="K1199" s="13"/>
      <c r="N1199" s="20"/>
      <c r="O1199" s="45"/>
    </row>
    <row r="1200" spans="10:15">
      <c r="J1200" s="9"/>
      <c r="K1200" s="13"/>
      <c r="N1200" s="20"/>
      <c r="O1200" s="45"/>
    </row>
    <row r="1201" spans="10:15">
      <c r="J1201" s="9"/>
      <c r="K1201" s="13"/>
      <c r="N1201" s="20"/>
      <c r="O1201" s="45"/>
    </row>
    <row r="1202" spans="10:15">
      <c r="J1202" s="9"/>
      <c r="K1202" s="13"/>
      <c r="N1202" s="20"/>
      <c r="O1202" s="45"/>
    </row>
    <row r="1203" spans="10:15">
      <c r="J1203" s="9"/>
      <c r="K1203" s="13"/>
      <c r="N1203" s="20"/>
      <c r="O1203" s="45"/>
    </row>
    <row r="1204" spans="10:15">
      <c r="J1204" s="9"/>
      <c r="K1204" s="13"/>
      <c r="N1204" s="20"/>
      <c r="O1204" s="45"/>
    </row>
    <row r="1205" spans="10:15">
      <c r="J1205" s="9"/>
      <c r="K1205" s="13"/>
      <c r="N1205" s="20"/>
      <c r="O1205" s="45"/>
    </row>
    <row r="1206" spans="10:15">
      <c r="J1206" s="9"/>
      <c r="K1206" s="13"/>
      <c r="N1206" s="20"/>
      <c r="O1206" s="45"/>
    </row>
    <row r="1207" spans="10:15">
      <c r="J1207" s="9"/>
      <c r="K1207" s="13"/>
      <c r="N1207" s="20"/>
      <c r="O1207" s="45"/>
    </row>
    <row r="1208" spans="10:15">
      <c r="J1208" s="9"/>
      <c r="K1208" s="13"/>
      <c r="N1208" s="20"/>
      <c r="O1208" s="45"/>
    </row>
    <row r="1209" spans="10:15">
      <c r="J1209" s="9"/>
      <c r="K1209" s="13"/>
      <c r="N1209" s="20"/>
      <c r="O1209" s="45"/>
    </row>
    <row r="1210" spans="10:15">
      <c r="J1210" s="9"/>
      <c r="K1210" s="13"/>
      <c r="N1210" s="20"/>
      <c r="O1210" s="45"/>
    </row>
    <row r="1211" spans="10:15">
      <c r="J1211" s="9"/>
      <c r="K1211" s="13"/>
      <c r="N1211" s="20"/>
      <c r="O1211" s="45"/>
    </row>
    <row r="1212" spans="10:15">
      <c r="J1212" s="9"/>
      <c r="K1212" s="13"/>
      <c r="N1212" s="20"/>
      <c r="O1212" s="45"/>
    </row>
    <row r="1213" spans="10:15">
      <c r="J1213" s="9"/>
      <c r="K1213" s="13"/>
      <c r="N1213" s="20"/>
      <c r="O1213" s="45"/>
    </row>
    <row r="1214" spans="10:15">
      <c r="J1214" s="9"/>
      <c r="K1214" s="13"/>
      <c r="N1214" s="20"/>
      <c r="O1214" s="45"/>
    </row>
    <row r="1215" spans="10:15">
      <c r="J1215" s="9"/>
      <c r="K1215" s="13"/>
      <c r="N1215" s="20"/>
      <c r="O1215" s="45"/>
    </row>
    <row r="1216" spans="10:15">
      <c r="J1216" s="9"/>
      <c r="K1216" s="13"/>
      <c r="N1216" s="20"/>
      <c r="O1216" s="45"/>
    </row>
    <row r="1217" spans="10:15">
      <c r="J1217" s="9"/>
      <c r="K1217" s="13"/>
      <c r="N1217" s="20"/>
      <c r="O1217" s="45"/>
    </row>
    <row r="1218" spans="10:15">
      <c r="J1218" s="9"/>
      <c r="K1218" s="13"/>
      <c r="N1218" s="20"/>
      <c r="O1218" s="45"/>
    </row>
    <row r="1219" spans="10:15">
      <c r="J1219" s="9"/>
      <c r="K1219" s="13"/>
      <c r="N1219" s="20"/>
      <c r="O1219" s="45"/>
    </row>
    <row r="1220" spans="10:15">
      <c r="J1220" s="9"/>
      <c r="K1220" s="13"/>
      <c r="N1220" s="20"/>
      <c r="O1220" s="45"/>
    </row>
    <row r="1221" spans="10:15">
      <c r="J1221" s="9"/>
      <c r="K1221" s="13"/>
      <c r="N1221" s="20"/>
      <c r="O1221" s="45"/>
    </row>
    <row r="1222" spans="10:15">
      <c r="J1222" s="9"/>
      <c r="K1222" s="13"/>
      <c r="N1222" s="20"/>
      <c r="O1222" s="45"/>
    </row>
    <row r="1223" spans="10:15">
      <c r="J1223" s="9"/>
      <c r="K1223" s="13"/>
      <c r="N1223" s="20"/>
      <c r="O1223" s="45"/>
    </row>
    <row r="1224" spans="10:15">
      <c r="J1224" s="9"/>
      <c r="K1224" s="13"/>
      <c r="N1224" s="20"/>
      <c r="O1224" s="45"/>
    </row>
    <row r="1225" spans="10:15">
      <c r="J1225" s="9"/>
      <c r="K1225" s="13"/>
      <c r="N1225" s="20"/>
      <c r="O1225" s="45"/>
    </row>
    <row r="1226" spans="10:15">
      <c r="J1226" s="9"/>
      <c r="K1226" s="13"/>
      <c r="N1226" s="20"/>
      <c r="O1226" s="45"/>
    </row>
    <row r="1227" spans="10:15">
      <c r="J1227" s="9"/>
      <c r="K1227" s="13"/>
      <c r="N1227" s="20"/>
      <c r="O1227" s="45"/>
    </row>
    <row r="1228" spans="10:15">
      <c r="J1228" s="9"/>
      <c r="K1228" s="13"/>
      <c r="N1228" s="20"/>
      <c r="O1228" s="45"/>
    </row>
    <row r="1229" spans="10:15">
      <c r="J1229" s="9"/>
      <c r="K1229" s="13"/>
      <c r="N1229" s="20"/>
      <c r="O1229" s="45"/>
    </row>
    <row r="1230" spans="10:15">
      <c r="J1230" s="9"/>
      <c r="K1230" s="13"/>
      <c r="N1230" s="20"/>
      <c r="O1230" s="45"/>
    </row>
    <row r="1231" spans="10:15">
      <c r="J1231" s="9"/>
      <c r="K1231" s="13"/>
      <c r="N1231" s="20"/>
      <c r="O1231" s="45"/>
    </row>
    <row r="1232" spans="10:15">
      <c r="J1232" s="9"/>
      <c r="K1232" s="13"/>
      <c r="N1232" s="20"/>
      <c r="O1232" s="45"/>
    </row>
    <row r="1233" spans="10:15">
      <c r="J1233" s="9"/>
      <c r="K1233" s="13"/>
      <c r="N1233" s="20"/>
      <c r="O1233" s="45"/>
    </row>
    <row r="1234" spans="10:15">
      <c r="J1234" s="9"/>
      <c r="K1234" s="13"/>
      <c r="N1234" s="20"/>
      <c r="O1234" s="45"/>
    </row>
    <row r="1235" spans="10:15">
      <c r="J1235" s="9"/>
      <c r="K1235" s="13"/>
      <c r="N1235" s="20"/>
      <c r="O1235" s="45"/>
    </row>
    <row r="1236" spans="10:15">
      <c r="J1236" s="9"/>
      <c r="K1236" s="13"/>
      <c r="N1236" s="20"/>
      <c r="O1236" s="45"/>
    </row>
    <row r="1237" spans="10:15">
      <c r="J1237" s="9"/>
      <c r="K1237" s="13"/>
      <c r="N1237" s="20"/>
      <c r="O1237" s="45"/>
    </row>
    <row r="1238" spans="10:15">
      <c r="J1238" s="9"/>
      <c r="K1238" s="13"/>
      <c r="N1238" s="20"/>
      <c r="O1238" s="45"/>
    </row>
    <row r="1239" spans="10:15">
      <c r="J1239" s="9"/>
      <c r="K1239" s="13"/>
      <c r="N1239" s="20"/>
      <c r="O1239" s="45"/>
    </row>
    <row r="1240" spans="10:15">
      <c r="J1240" s="9"/>
      <c r="K1240" s="13"/>
      <c r="N1240" s="20"/>
      <c r="O1240" s="45"/>
    </row>
    <row r="1241" spans="10:15">
      <c r="J1241" s="9"/>
      <c r="K1241" s="13"/>
      <c r="N1241" s="20"/>
      <c r="O1241" s="45"/>
    </row>
    <row r="1242" spans="10:15">
      <c r="J1242" s="9"/>
      <c r="K1242" s="13"/>
      <c r="N1242" s="20"/>
      <c r="O1242" s="45"/>
    </row>
    <row r="1243" spans="10:15">
      <c r="J1243" s="9"/>
      <c r="K1243" s="13"/>
      <c r="N1243" s="20"/>
      <c r="O1243" s="45"/>
    </row>
    <row r="1244" spans="10:15">
      <c r="J1244" s="9"/>
      <c r="K1244" s="13"/>
      <c r="N1244" s="20"/>
      <c r="O1244" s="45"/>
    </row>
    <row r="1245" spans="10:15">
      <c r="J1245" s="9"/>
      <c r="K1245" s="13"/>
      <c r="N1245" s="20"/>
      <c r="O1245" s="45"/>
    </row>
    <row r="1246" spans="10:15">
      <c r="J1246" s="9"/>
      <c r="K1246" s="13"/>
      <c r="N1246" s="20"/>
      <c r="O1246" s="45"/>
    </row>
    <row r="1247" spans="10:15">
      <c r="J1247" s="9"/>
      <c r="K1247" s="13"/>
      <c r="N1247" s="20"/>
      <c r="O1247" s="45"/>
    </row>
    <row r="1248" spans="10:15">
      <c r="J1248" s="9"/>
      <c r="K1248" s="13"/>
      <c r="N1248" s="20"/>
      <c r="O1248" s="45"/>
    </row>
    <row r="1249" spans="10:15">
      <c r="J1249" s="9"/>
      <c r="K1249" s="13"/>
      <c r="N1249" s="20"/>
      <c r="O1249" s="45"/>
    </row>
    <row r="1250" spans="10:15">
      <c r="J1250" s="9"/>
      <c r="K1250" s="13"/>
      <c r="N1250" s="20"/>
      <c r="O1250" s="45"/>
    </row>
    <row r="1251" spans="10:15">
      <c r="J1251" s="9"/>
      <c r="K1251" s="13"/>
      <c r="N1251" s="20"/>
      <c r="O1251" s="45"/>
    </row>
    <row r="1252" spans="10:15">
      <c r="J1252" s="9"/>
      <c r="K1252" s="13"/>
      <c r="N1252" s="20"/>
      <c r="O1252" s="45"/>
    </row>
    <row r="1253" spans="10:15">
      <c r="J1253" s="9"/>
      <c r="K1253" s="13"/>
      <c r="N1253" s="20"/>
      <c r="O1253" s="45"/>
    </row>
    <row r="1254" spans="10:15">
      <c r="J1254" s="9"/>
      <c r="K1254" s="13"/>
      <c r="N1254" s="20"/>
      <c r="O1254" s="45"/>
    </row>
    <row r="1255" spans="10:15">
      <c r="J1255" s="9"/>
      <c r="K1255" s="13"/>
      <c r="N1255" s="20"/>
      <c r="O1255" s="45"/>
    </row>
    <row r="1256" spans="10:15">
      <c r="J1256" s="9"/>
      <c r="K1256" s="13"/>
      <c r="N1256" s="20"/>
      <c r="O1256" s="45"/>
    </row>
    <row r="1257" spans="10:15">
      <c r="J1257" s="9"/>
      <c r="K1257" s="13"/>
      <c r="N1257" s="20"/>
      <c r="O1257" s="45"/>
    </row>
    <row r="1258" spans="10:15">
      <c r="J1258" s="9"/>
      <c r="K1258" s="13"/>
      <c r="N1258" s="20"/>
      <c r="O1258" s="45"/>
    </row>
    <row r="1259" spans="10:15">
      <c r="J1259" s="9"/>
      <c r="K1259" s="13"/>
      <c r="N1259" s="20"/>
      <c r="O1259" s="45"/>
    </row>
    <row r="1260" spans="10:15">
      <c r="J1260" s="9"/>
      <c r="K1260" s="13"/>
      <c r="N1260" s="20"/>
      <c r="O1260" s="45"/>
    </row>
    <row r="1261" spans="10:15">
      <c r="J1261" s="9"/>
      <c r="K1261" s="13"/>
      <c r="N1261" s="20"/>
      <c r="O1261" s="45"/>
    </row>
    <row r="1262" spans="10:15">
      <c r="J1262" s="9"/>
      <c r="K1262" s="13"/>
      <c r="N1262" s="20"/>
      <c r="O1262" s="45"/>
    </row>
    <row r="1263" spans="10:15">
      <c r="J1263" s="9"/>
      <c r="K1263" s="13"/>
      <c r="N1263" s="20"/>
      <c r="O1263" s="45"/>
    </row>
    <row r="1264" spans="10:15">
      <c r="J1264" s="9"/>
      <c r="K1264" s="13"/>
      <c r="N1264" s="20"/>
      <c r="O1264" s="45"/>
    </row>
    <row r="1265" spans="10:15">
      <c r="J1265" s="9"/>
      <c r="K1265" s="13"/>
      <c r="N1265" s="20"/>
      <c r="O1265" s="45"/>
    </row>
    <row r="1266" spans="10:15">
      <c r="J1266" s="9"/>
      <c r="K1266" s="13"/>
      <c r="N1266" s="20"/>
      <c r="O1266" s="45"/>
    </row>
    <row r="1267" spans="10:15">
      <c r="J1267" s="9"/>
      <c r="K1267" s="13"/>
      <c r="N1267" s="20"/>
      <c r="O1267" s="45"/>
    </row>
    <row r="1268" spans="10:15">
      <c r="J1268" s="9"/>
      <c r="K1268" s="13"/>
      <c r="N1268" s="20"/>
      <c r="O1268" s="45"/>
    </row>
    <row r="1269" spans="10:15">
      <c r="J1269" s="9"/>
      <c r="K1269" s="13"/>
      <c r="N1269" s="20"/>
      <c r="O1269" s="45"/>
    </row>
    <row r="1270" spans="10:15">
      <c r="J1270" s="9"/>
      <c r="K1270" s="13"/>
      <c r="N1270" s="20"/>
      <c r="O1270" s="45"/>
    </row>
    <row r="1271" spans="10:15">
      <c r="J1271" s="9"/>
      <c r="K1271" s="13"/>
      <c r="N1271" s="20"/>
      <c r="O1271" s="45"/>
    </row>
    <row r="1272" spans="10:15">
      <c r="J1272" s="9"/>
      <c r="K1272" s="13"/>
      <c r="N1272" s="20"/>
      <c r="O1272" s="45"/>
    </row>
    <row r="1273" spans="10:15">
      <c r="J1273" s="9"/>
      <c r="K1273" s="13"/>
      <c r="N1273" s="20"/>
      <c r="O1273" s="45"/>
    </row>
    <row r="1274" spans="10:15">
      <c r="J1274" s="9"/>
      <c r="K1274" s="13"/>
      <c r="N1274" s="20"/>
      <c r="O1274" s="45"/>
    </row>
    <row r="1275" spans="10:15">
      <c r="J1275" s="9"/>
      <c r="K1275" s="13"/>
      <c r="N1275" s="20"/>
      <c r="O1275" s="45"/>
    </row>
    <row r="1276" spans="10:15">
      <c r="J1276" s="9"/>
      <c r="K1276" s="13"/>
      <c r="N1276" s="20"/>
      <c r="O1276" s="45"/>
    </row>
    <row r="1277" spans="10:15">
      <c r="J1277" s="9"/>
      <c r="K1277" s="13"/>
      <c r="N1277" s="20"/>
      <c r="O1277" s="45"/>
    </row>
    <row r="1278" spans="10:15">
      <c r="J1278" s="9"/>
      <c r="K1278" s="13"/>
      <c r="N1278" s="20"/>
      <c r="O1278" s="45"/>
    </row>
    <row r="1279" spans="10:15">
      <c r="J1279" s="9"/>
      <c r="K1279" s="13"/>
      <c r="N1279" s="20"/>
      <c r="O1279" s="45"/>
    </row>
    <row r="1280" spans="10:15">
      <c r="J1280" s="9"/>
      <c r="K1280" s="13"/>
      <c r="N1280" s="20"/>
      <c r="O1280" s="45"/>
    </row>
    <row r="1281" spans="10:15">
      <c r="J1281" s="9"/>
      <c r="K1281" s="13"/>
      <c r="N1281" s="20"/>
      <c r="O1281" s="45"/>
    </row>
    <row r="1282" spans="10:15">
      <c r="J1282" s="9"/>
      <c r="K1282" s="13"/>
      <c r="N1282" s="20"/>
      <c r="O1282" s="45"/>
    </row>
    <row r="1283" spans="10:15">
      <c r="J1283" s="9"/>
      <c r="K1283" s="13"/>
      <c r="N1283" s="20"/>
      <c r="O1283" s="45"/>
    </row>
    <row r="1284" spans="10:15">
      <c r="J1284" s="9"/>
      <c r="K1284" s="13"/>
      <c r="N1284" s="20"/>
      <c r="O1284" s="45"/>
    </row>
    <row r="1285" spans="10:15">
      <c r="J1285" s="9"/>
      <c r="K1285" s="13"/>
      <c r="N1285" s="20"/>
      <c r="O1285" s="45"/>
    </row>
    <row r="1286" spans="10:15">
      <c r="J1286" s="9"/>
      <c r="K1286" s="13"/>
      <c r="N1286" s="20"/>
      <c r="O1286" s="45"/>
    </row>
    <row r="1287" spans="10:15">
      <c r="J1287" s="9"/>
      <c r="K1287" s="13"/>
      <c r="N1287" s="20"/>
      <c r="O1287" s="45"/>
    </row>
    <row r="1288" spans="10:15">
      <c r="J1288" s="9"/>
      <c r="K1288" s="13"/>
      <c r="N1288" s="20"/>
      <c r="O1288" s="45"/>
    </row>
    <row r="1289" spans="10:15">
      <c r="J1289" s="9"/>
      <c r="K1289" s="13"/>
      <c r="N1289" s="20"/>
      <c r="O1289" s="45"/>
    </row>
    <row r="1290" spans="10:15">
      <c r="J1290" s="9"/>
      <c r="K1290" s="13"/>
      <c r="N1290" s="20"/>
      <c r="O1290" s="45"/>
    </row>
    <row r="1291" spans="10:15">
      <c r="J1291" s="9"/>
      <c r="K1291" s="13"/>
      <c r="N1291" s="20"/>
      <c r="O1291" s="45"/>
    </row>
    <row r="1292" spans="10:15">
      <c r="J1292" s="9"/>
      <c r="K1292" s="13"/>
      <c r="N1292" s="20"/>
      <c r="O1292" s="45"/>
    </row>
    <row r="1293" spans="10:15">
      <c r="J1293" s="9"/>
      <c r="K1293" s="13"/>
      <c r="N1293" s="20"/>
      <c r="O1293" s="45"/>
    </row>
    <row r="1294" spans="10:15">
      <c r="J1294" s="9"/>
      <c r="K1294" s="13"/>
      <c r="N1294" s="20"/>
      <c r="O1294" s="45"/>
    </row>
    <row r="1295" spans="10:15">
      <c r="J1295" s="9"/>
      <c r="K1295" s="13"/>
      <c r="N1295" s="20"/>
      <c r="O1295" s="45"/>
    </row>
    <row r="1296" spans="10:15">
      <c r="J1296" s="9"/>
      <c r="K1296" s="13"/>
      <c r="N1296" s="20"/>
      <c r="O1296" s="45"/>
    </row>
    <row r="1297" spans="10:15">
      <c r="J1297" s="9"/>
      <c r="K1297" s="13"/>
      <c r="N1297" s="20"/>
      <c r="O1297" s="45"/>
    </row>
    <row r="1298" spans="10:15">
      <c r="J1298" s="9"/>
      <c r="K1298" s="13"/>
      <c r="N1298" s="20"/>
      <c r="O1298" s="45"/>
    </row>
    <row r="1299" spans="10:15">
      <c r="J1299" s="9"/>
      <c r="K1299" s="13"/>
      <c r="N1299" s="20"/>
      <c r="O1299" s="45"/>
    </row>
    <row r="1300" spans="10:15">
      <c r="J1300" s="9"/>
      <c r="K1300" s="13"/>
      <c r="N1300" s="20"/>
      <c r="O1300" s="45"/>
    </row>
    <row r="1301" spans="10:15">
      <c r="J1301" s="9"/>
      <c r="K1301" s="13"/>
      <c r="N1301" s="20"/>
      <c r="O1301" s="45"/>
    </row>
    <row r="1302" spans="10:15">
      <c r="J1302" s="9"/>
      <c r="K1302" s="13"/>
      <c r="N1302" s="20"/>
      <c r="O1302" s="45"/>
    </row>
    <row r="1303" spans="10:15">
      <c r="J1303" s="9"/>
      <c r="K1303" s="13"/>
      <c r="N1303" s="20"/>
      <c r="O1303" s="45"/>
    </row>
    <row r="1304" spans="10:15">
      <c r="J1304" s="9"/>
      <c r="K1304" s="13"/>
      <c r="N1304" s="20"/>
      <c r="O1304" s="45"/>
    </row>
    <row r="1305" spans="10:15">
      <c r="J1305" s="9"/>
      <c r="K1305" s="13"/>
      <c r="N1305" s="20"/>
      <c r="O1305" s="45"/>
    </row>
    <row r="1306" spans="10:15">
      <c r="J1306" s="9"/>
      <c r="K1306" s="13"/>
      <c r="N1306" s="20"/>
      <c r="O1306" s="45"/>
    </row>
    <row r="1307" spans="10:15">
      <c r="J1307" s="9"/>
      <c r="K1307" s="13"/>
      <c r="N1307" s="20"/>
      <c r="O1307" s="45"/>
    </row>
    <row r="1308" spans="10:15">
      <c r="J1308" s="9"/>
      <c r="K1308" s="13"/>
      <c r="N1308" s="20"/>
      <c r="O1308" s="45"/>
    </row>
    <row r="1309" spans="10:15">
      <c r="J1309" s="9"/>
      <c r="K1309" s="13"/>
      <c r="N1309" s="20"/>
      <c r="O1309" s="45"/>
    </row>
    <row r="1310" spans="10:15">
      <c r="J1310" s="9"/>
      <c r="K1310" s="13"/>
      <c r="N1310" s="20"/>
      <c r="O1310" s="45"/>
    </row>
    <row r="1311" spans="10:15">
      <c r="J1311" s="9"/>
      <c r="K1311" s="13"/>
      <c r="N1311" s="20"/>
      <c r="O1311" s="45"/>
    </row>
    <row r="1312" spans="10:15">
      <c r="J1312" s="9"/>
      <c r="K1312" s="13"/>
      <c r="N1312" s="20"/>
      <c r="O1312" s="45"/>
    </row>
    <row r="1313" spans="10:15">
      <c r="J1313" s="9"/>
      <c r="K1313" s="13"/>
      <c r="N1313" s="20"/>
      <c r="O1313" s="45"/>
    </row>
    <row r="1314" spans="10:15">
      <c r="J1314" s="9"/>
      <c r="K1314" s="13"/>
      <c r="N1314" s="20"/>
      <c r="O1314" s="45"/>
    </row>
    <row r="1315" spans="10:15">
      <c r="J1315" s="9"/>
      <c r="K1315" s="13"/>
      <c r="N1315" s="20"/>
      <c r="O1315" s="45"/>
    </row>
    <row r="1316" spans="10:15">
      <c r="J1316" s="9"/>
      <c r="K1316" s="13"/>
      <c r="N1316" s="20"/>
      <c r="O1316" s="45"/>
    </row>
    <row r="1317" spans="10:15">
      <c r="J1317" s="9"/>
      <c r="K1317" s="13"/>
      <c r="N1317" s="20"/>
      <c r="O1317" s="45"/>
    </row>
    <row r="1318" spans="10:15">
      <c r="J1318" s="9"/>
      <c r="K1318" s="13"/>
      <c r="N1318" s="20"/>
      <c r="O1318" s="45"/>
    </row>
    <row r="1319" spans="10:15">
      <c r="J1319" s="9"/>
      <c r="K1319" s="13"/>
      <c r="N1319" s="20"/>
      <c r="O1319" s="45"/>
    </row>
    <row r="1320" spans="10:15">
      <c r="J1320" s="9"/>
      <c r="K1320" s="13"/>
      <c r="N1320" s="20"/>
      <c r="O1320" s="45"/>
    </row>
    <row r="1321" spans="10:15">
      <c r="J1321" s="9"/>
      <c r="K1321" s="13"/>
      <c r="N1321" s="20"/>
      <c r="O1321" s="45"/>
    </row>
    <row r="1322" spans="10:15">
      <c r="J1322" s="9"/>
      <c r="K1322" s="13"/>
      <c r="N1322" s="20"/>
      <c r="O1322" s="45"/>
    </row>
    <row r="1323" spans="10:15">
      <c r="J1323" s="9"/>
      <c r="K1323" s="13"/>
      <c r="N1323" s="20"/>
      <c r="O1323" s="45"/>
    </row>
    <row r="1324" spans="10:15">
      <c r="J1324" s="9"/>
      <c r="K1324" s="13"/>
      <c r="N1324" s="20"/>
      <c r="O1324" s="45"/>
    </row>
    <row r="1325" spans="10:15">
      <c r="J1325" s="9"/>
      <c r="K1325" s="13"/>
      <c r="N1325" s="20"/>
      <c r="O1325" s="45"/>
    </row>
    <row r="1326" spans="10:15">
      <c r="J1326" s="9"/>
      <c r="K1326" s="13"/>
      <c r="N1326" s="20"/>
      <c r="O1326" s="45"/>
    </row>
    <row r="1327" spans="10:15">
      <c r="J1327" s="9"/>
      <c r="K1327" s="13"/>
      <c r="N1327" s="20"/>
      <c r="O1327" s="45"/>
    </row>
    <row r="1328" spans="10:15">
      <c r="J1328" s="9"/>
      <c r="K1328" s="13"/>
      <c r="N1328" s="20"/>
      <c r="O1328" s="45"/>
    </row>
    <row r="1329" spans="10:15">
      <c r="J1329" s="9"/>
      <c r="K1329" s="13"/>
      <c r="N1329" s="20"/>
      <c r="O1329" s="45"/>
    </row>
    <row r="1330" spans="10:15">
      <c r="J1330" s="9"/>
      <c r="K1330" s="13"/>
      <c r="N1330" s="20"/>
      <c r="O1330" s="45"/>
    </row>
    <row r="1331" spans="10:15">
      <c r="J1331" s="9"/>
      <c r="K1331" s="13"/>
      <c r="N1331" s="20"/>
      <c r="O1331" s="45"/>
    </row>
    <row r="1332" spans="10:15">
      <c r="J1332" s="9"/>
      <c r="K1332" s="13"/>
      <c r="N1332" s="20"/>
      <c r="O1332" s="45"/>
    </row>
    <row r="1333" spans="10:15">
      <c r="J1333" s="9"/>
      <c r="K1333" s="13"/>
      <c r="N1333" s="20"/>
      <c r="O1333" s="45"/>
    </row>
    <row r="1334" spans="10:15">
      <c r="J1334" s="9"/>
      <c r="K1334" s="13"/>
      <c r="N1334" s="20"/>
      <c r="O1334" s="45"/>
    </row>
    <row r="1335" spans="10:15">
      <c r="J1335" s="9"/>
      <c r="K1335" s="13"/>
      <c r="N1335" s="20"/>
      <c r="O1335" s="45"/>
    </row>
    <row r="1336" spans="10:15">
      <c r="J1336" s="9"/>
      <c r="K1336" s="13"/>
      <c r="N1336" s="20"/>
      <c r="O1336" s="45"/>
    </row>
    <row r="1337" spans="10:15">
      <c r="J1337" s="9"/>
      <c r="K1337" s="13"/>
      <c r="N1337" s="20"/>
      <c r="O1337" s="45"/>
    </row>
    <row r="1338" spans="10:15">
      <c r="J1338" s="9"/>
      <c r="K1338" s="13"/>
      <c r="N1338" s="20"/>
      <c r="O1338" s="45"/>
    </row>
    <row r="1339" spans="10:15">
      <c r="J1339" s="9"/>
      <c r="K1339" s="13"/>
      <c r="N1339" s="20"/>
      <c r="O1339" s="45"/>
    </row>
    <row r="1340" spans="10:15">
      <c r="J1340" s="9"/>
      <c r="K1340" s="13"/>
      <c r="N1340" s="20"/>
      <c r="O1340" s="45"/>
    </row>
    <row r="1341" spans="10:15">
      <c r="J1341" s="9"/>
      <c r="K1341" s="13"/>
      <c r="N1341" s="20"/>
      <c r="O1341" s="45"/>
    </row>
    <row r="1342" spans="10:15">
      <c r="J1342" s="9"/>
      <c r="K1342" s="13"/>
      <c r="N1342" s="20"/>
      <c r="O1342" s="45"/>
    </row>
    <row r="1343" spans="10:15">
      <c r="J1343" s="9"/>
      <c r="K1343" s="13"/>
      <c r="N1343" s="20"/>
      <c r="O1343" s="45"/>
    </row>
    <row r="1344" spans="10:15">
      <c r="J1344" s="9"/>
      <c r="K1344" s="13"/>
      <c r="N1344" s="20"/>
      <c r="O1344" s="45"/>
    </row>
    <row r="1345" spans="10:15">
      <c r="J1345" s="9"/>
      <c r="K1345" s="13"/>
      <c r="N1345" s="20"/>
      <c r="O1345" s="45"/>
    </row>
    <row r="1346" spans="10:15">
      <c r="J1346" s="9"/>
      <c r="K1346" s="13"/>
      <c r="N1346" s="20"/>
      <c r="O1346" s="45"/>
    </row>
    <row r="1347" spans="10:15">
      <c r="J1347" s="9"/>
      <c r="K1347" s="13"/>
      <c r="N1347" s="20"/>
      <c r="O1347" s="45"/>
    </row>
    <row r="1348" spans="10:15">
      <c r="J1348" s="9"/>
      <c r="K1348" s="13"/>
      <c r="N1348" s="20"/>
      <c r="O1348" s="45"/>
    </row>
    <row r="1349" spans="10:15">
      <c r="J1349" s="9"/>
      <c r="K1349" s="13"/>
      <c r="N1349" s="20"/>
      <c r="O1349" s="45"/>
    </row>
    <row r="1350" spans="10:15">
      <c r="J1350" s="9"/>
      <c r="K1350" s="13"/>
      <c r="N1350" s="20"/>
      <c r="O1350" s="45"/>
    </row>
    <row r="1351" spans="10:15">
      <c r="J1351" s="9"/>
      <c r="K1351" s="13"/>
      <c r="N1351" s="20"/>
      <c r="O1351" s="45"/>
    </row>
    <row r="1352" spans="10:15">
      <c r="J1352" s="9"/>
      <c r="K1352" s="13"/>
      <c r="N1352" s="20"/>
      <c r="O1352" s="45"/>
    </row>
    <row r="1353" spans="10:15">
      <c r="J1353" s="9"/>
      <c r="K1353" s="13"/>
      <c r="N1353" s="20"/>
      <c r="O1353" s="45"/>
    </row>
    <row r="1354" spans="10:15">
      <c r="J1354" s="9"/>
      <c r="K1354" s="13"/>
      <c r="N1354" s="20"/>
      <c r="O1354" s="45"/>
    </row>
    <row r="1355" spans="10:15">
      <c r="J1355" s="9"/>
      <c r="K1355" s="13"/>
      <c r="N1355" s="20"/>
      <c r="O1355" s="45"/>
    </row>
    <row r="1356" spans="10:15">
      <c r="J1356" s="9"/>
      <c r="K1356" s="13"/>
      <c r="N1356" s="20"/>
      <c r="O1356" s="45"/>
    </row>
    <row r="1357" spans="10:15">
      <c r="J1357" s="9"/>
      <c r="K1357" s="13"/>
      <c r="N1357" s="20"/>
      <c r="O1357" s="45"/>
    </row>
    <row r="1358" spans="10:15">
      <c r="J1358" s="9"/>
      <c r="K1358" s="13"/>
      <c r="N1358" s="20"/>
      <c r="O1358" s="45"/>
    </row>
    <row r="1359" spans="10:15">
      <c r="J1359" s="9"/>
      <c r="K1359" s="13"/>
      <c r="N1359" s="20"/>
      <c r="O1359" s="45"/>
    </row>
    <row r="1360" spans="10:15">
      <c r="J1360" s="9"/>
      <c r="K1360" s="13"/>
      <c r="N1360" s="20"/>
      <c r="O1360" s="45"/>
    </row>
    <row r="1361" spans="10:15">
      <c r="J1361" s="9"/>
      <c r="K1361" s="13"/>
      <c r="N1361" s="20"/>
      <c r="O1361" s="45"/>
    </row>
    <row r="1362" spans="10:15">
      <c r="J1362" s="9"/>
      <c r="K1362" s="13"/>
      <c r="N1362" s="20"/>
      <c r="O1362" s="45"/>
    </row>
    <row r="1363" spans="10:15">
      <c r="J1363" s="9"/>
      <c r="K1363" s="13"/>
      <c r="N1363" s="20"/>
      <c r="O1363" s="45"/>
    </row>
    <row r="1364" spans="10:15">
      <c r="J1364" s="9"/>
      <c r="K1364" s="13"/>
      <c r="N1364" s="20"/>
      <c r="O1364" s="45"/>
    </row>
    <row r="1365" spans="10:15">
      <c r="J1365" s="9"/>
      <c r="K1365" s="13"/>
      <c r="N1365" s="20"/>
      <c r="O1365" s="45"/>
    </row>
    <row r="1366" spans="10:15">
      <c r="J1366" s="9"/>
      <c r="K1366" s="13"/>
      <c r="N1366" s="20"/>
      <c r="O1366" s="45"/>
    </row>
    <row r="1367" spans="10:15">
      <c r="J1367" s="9"/>
      <c r="K1367" s="13"/>
      <c r="N1367" s="20"/>
      <c r="O1367" s="45"/>
    </row>
    <row r="1368" spans="10:15">
      <c r="J1368" s="9"/>
      <c r="K1368" s="13"/>
      <c r="N1368" s="20"/>
      <c r="O1368" s="45"/>
    </row>
    <row r="1369" spans="10:15">
      <c r="J1369" s="9"/>
      <c r="K1369" s="13"/>
      <c r="N1369" s="20"/>
      <c r="O1369" s="45"/>
    </row>
    <row r="1370" spans="10:15">
      <c r="J1370" s="9"/>
      <c r="K1370" s="13"/>
      <c r="N1370" s="20"/>
      <c r="O1370" s="45"/>
    </row>
    <row r="1371" spans="10:15">
      <c r="J1371" s="9"/>
      <c r="K1371" s="13"/>
      <c r="N1371" s="20"/>
      <c r="O1371" s="45"/>
    </row>
    <row r="1372" spans="10:15">
      <c r="J1372" s="9"/>
      <c r="K1372" s="13"/>
      <c r="N1372" s="20"/>
      <c r="O1372" s="45"/>
    </row>
    <row r="1373" spans="10:15">
      <c r="J1373" s="9"/>
      <c r="K1373" s="13"/>
      <c r="N1373" s="20"/>
      <c r="O1373" s="45"/>
    </row>
    <row r="1374" spans="10:15">
      <c r="J1374" s="9"/>
      <c r="K1374" s="13"/>
      <c r="N1374" s="20"/>
      <c r="O1374" s="45"/>
    </row>
    <row r="1375" spans="10:15">
      <c r="J1375" s="9"/>
      <c r="K1375" s="13"/>
      <c r="N1375" s="20"/>
      <c r="O1375" s="45"/>
    </row>
    <row r="1376" spans="10:15">
      <c r="J1376" s="9"/>
      <c r="K1376" s="13"/>
      <c r="N1376" s="20"/>
      <c r="O1376" s="45"/>
    </row>
    <row r="1377" spans="10:15">
      <c r="J1377" s="9"/>
      <c r="K1377" s="13"/>
      <c r="N1377" s="20"/>
      <c r="O1377" s="45"/>
    </row>
    <row r="1378" spans="10:15">
      <c r="J1378" s="9"/>
      <c r="K1378" s="13"/>
      <c r="N1378" s="20"/>
      <c r="O1378" s="45"/>
    </row>
    <row r="1379" spans="10:15">
      <c r="J1379" s="9"/>
      <c r="K1379" s="13"/>
      <c r="N1379" s="20"/>
      <c r="O1379" s="45"/>
    </row>
    <row r="1380" spans="10:15">
      <c r="J1380" s="9"/>
      <c r="K1380" s="13"/>
      <c r="N1380" s="20"/>
      <c r="O1380" s="45"/>
    </row>
    <row r="1381" spans="10:15">
      <c r="J1381" s="9"/>
      <c r="K1381" s="13"/>
      <c r="N1381" s="20"/>
      <c r="O1381" s="45"/>
    </row>
    <row r="1382" spans="10:15">
      <c r="J1382" s="9"/>
      <c r="K1382" s="13"/>
      <c r="N1382" s="20"/>
      <c r="O1382" s="45"/>
    </row>
    <row r="1383" spans="10:15">
      <c r="J1383" s="9"/>
      <c r="K1383" s="13"/>
      <c r="N1383" s="20"/>
      <c r="O1383" s="45"/>
    </row>
    <row r="1384" spans="10:15">
      <c r="J1384" s="9"/>
      <c r="K1384" s="13"/>
      <c r="N1384" s="20"/>
      <c r="O1384" s="45"/>
    </row>
    <row r="1385" spans="10:15">
      <c r="J1385" s="9"/>
      <c r="K1385" s="13"/>
      <c r="N1385" s="20"/>
      <c r="O1385" s="45"/>
    </row>
    <row r="1386" spans="10:15">
      <c r="J1386" s="9"/>
      <c r="K1386" s="13"/>
      <c r="N1386" s="20"/>
      <c r="O1386" s="45"/>
    </row>
    <row r="1387" spans="10:15">
      <c r="J1387" s="9"/>
      <c r="K1387" s="13"/>
      <c r="N1387" s="20"/>
      <c r="O1387" s="45"/>
    </row>
    <row r="1388" spans="10:15">
      <c r="J1388" s="9"/>
      <c r="K1388" s="13"/>
      <c r="N1388" s="20"/>
      <c r="O1388" s="45"/>
    </row>
    <row r="1389" spans="10:15">
      <c r="J1389" s="9"/>
      <c r="K1389" s="13"/>
      <c r="N1389" s="20"/>
      <c r="O1389" s="45"/>
    </row>
    <row r="1390" spans="10:15">
      <c r="J1390" s="9"/>
      <c r="K1390" s="13"/>
      <c r="N1390" s="20"/>
      <c r="O1390" s="45"/>
    </row>
    <row r="1391" spans="10:15">
      <c r="J1391" s="9"/>
      <c r="K1391" s="13"/>
      <c r="N1391" s="20"/>
      <c r="O1391" s="45"/>
    </row>
    <row r="1392" spans="10:15">
      <c r="J1392" s="9"/>
      <c r="K1392" s="13"/>
      <c r="N1392" s="20"/>
      <c r="O1392" s="45"/>
    </row>
    <row r="1393" spans="10:15">
      <c r="J1393" s="9"/>
      <c r="K1393" s="13"/>
      <c r="N1393" s="20"/>
      <c r="O1393" s="45"/>
    </row>
    <row r="1394" spans="10:15">
      <c r="J1394" s="9"/>
      <c r="K1394" s="13"/>
      <c r="N1394" s="20"/>
      <c r="O1394" s="45"/>
    </row>
    <row r="1395" spans="10:15">
      <c r="J1395" s="9"/>
      <c r="K1395" s="13"/>
      <c r="N1395" s="20"/>
      <c r="O1395" s="45"/>
    </row>
    <row r="1396" spans="10:15">
      <c r="J1396" s="9"/>
      <c r="K1396" s="13"/>
      <c r="N1396" s="20"/>
      <c r="O1396" s="45"/>
    </row>
    <row r="1397" spans="10:15">
      <c r="J1397" s="9"/>
      <c r="K1397" s="13"/>
      <c r="N1397" s="20"/>
      <c r="O1397" s="45"/>
    </row>
    <row r="1398" spans="10:15">
      <c r="J1398" s="9"/>
      <c r="K1398" s="13"/>
      <c r="N1398" s="20"/>
      <c r="O1398" s="45"/>
    </row>
    <row r="1399" spans="10:15">
      <c r="J1399" s="9"/>
      <c r="K1399" s="13"/>
      <c r="N1399" s="20"/>
      <c r="O1399" s="45"/>
    </row>
    <row r="1400" spans="10:15">
      <c r="J1400" s="9"/>
      <c r="K1400" s="13"/>
      <c r="N1400" s="20"/>
      <c r="O1400" s="45"/>
    </row>
    <row r="1401" spans="10:15">
      <c r="J1401" s="9"/>
      <c r="K1401" s="13"/>
      <c r="N1401" s="20"/>
      <c r="O1401" s="45"/>
    </row>
    <row r="1402" spans="10:15">
      <c r="J1402" s="9"/>
      <c r="K1402" s="13"/>
      <c r="N1402" s="20"/>
      <c r="O1402" s="45"/>
    </row>
    <row r="1403" spans="10:15">
      <c r="J1403" s="9"/>
      <c r="K1403" s="13"/>
      <c r="N1403" s="20"/>
      <c r="O1403" s="45"/>
    </row>
    <row r="1404" spans="10:15">
      <c r="J1404" s="9"/>
      <c r="K1404" s="13"/>
      <c r="N1404" s="20"/>
      <c r="O1404" s="45"/>
    </row>
    <row r="1405" spans="10:15">
      <c r="J1405" s="9"/>
      <c r="K1405" s="13"/>
      <c r="N1405" s="20"/>
      <c r="O1405" s="45"/>
    </row>
    <row r="1406" spans="10:15">
      <c r="J1406" s="9"/>
      <c r="K1406" s="13"/>
      <c r="N1406" s="20"/>
      <c r="O1406" s="45"/>
    </row>
    <row r="1407" spans="10:15">
      <c r="J1407" s="9"/>
      <c r="K1407" s="13"/>
      <c r="N1407" s="20"/>
      <c r="O1407" s="45"/>
    </row>
    <row r="1408" spans="10:15">
      <c r="J1408" s="9"/>
      <c r="K1408" s="13"/>
      <c r="N1408" s="20"/>
      <c r="O1408" s="45"/>
    </row>
    <row r="1409" spans="10:15">
      <c r="J1409" s="9"/>
      <c r="K1409" s="13"/>
      <c r="N1409" s="20"/>
      <c r="O1409" s="45"/>
    </row>
    <row r="1410" spans="10:15">
      <c r="J1410" s="9"/>
      <c r="K1410" s="13"/>
      <c r="N1410" s="20"/>
      <c r="O1410" s="45"/>
    </row>
    <row r="1411" spans="10:15">
      <c r="J1411" s="9"/>
      <c r="K1411" s="13"/>
      <c r="N1411" s="20"/>
      <c r="O1411" s="45"/>
    </row>
    <row r="1412" spans="10:15">
      <c r="J1412" s="9"/>
      <c r="K1412" s="13"/>
      <c r="N1412" s="20"/>
      <c r="O1412" s="45"/>
    </row>
    <row r="1413" spans="10:15">
      <c r="J1413" s="9"/>
      <c r="K1413" s="13"/>
      <c r="N1413" s="20"/>
      <c r="O1413" s="45"/>
    </row>
    <row r="1414" spans="10:15">
      <c r="J1414" s="9"/>
      <c r="K1414" s="13"/>
      <c r="N1414" s="20"/>
      <c r="O1414" s="45"/>
    </row>
    <row r="1415" spans="10:15">
      <c r="J1415" s="9"/>
      <c r="K1415" s="13"/>
      <c r="N1415" s="20"/>
      <c r="O1415" s="45"/>
    </row>
    <row r="1416" spans="10:15">
      <c r="J1416" s="9"/>
      <c r="K1416" s="13"/>
      <c r="N1416" s="20"/>
      <c r="O1416" s="45"/>
    </row>
    <row r="1417" spans="10:15">
      <c r="J1417" s="9"/>
      <c r="K1417" s="13"/>
      <c r="N1417" s="20"/>
      <c r="O1417" s="45"/>
    </row>
    <row r="1418" spans="10:15">
      <c r="J1418" s="9"/>
      <c r="K1418" s="13"/>
      <c r="N1418" s="20"/>
      <c r="O1418" s="45"/>
    </row>
    <row r="1419" spans="10:15">
      <c r="J1419" s="9"/>
      <c r="K1419" s="13"/>
      <c r="N1419" s="20"/>
      <c r="O1419" s="45"/>
    </row>
    <row r="1420" spans="10:15">
      <c r="J1420" s="9"/>
      <c r="K1420" s="13"/>
      <c r="N1420" s="20"/>
      <c r="O1420" s="45"/>
    </row>
    <row r="1421" spans="10:15">
      <c r="J1421" s="9"/>
      <c r="K1421" s="13"/>
      <c r="N1421" s="20"/>
      <c r="O1421" s="45"/>
    </row>
    <row r="1422" spans="10:15">
      <c r="J1422" s="9"/>
      <c r="K1422" s="13"/>
      <c r="N1422" s="20"/>
      <c r="O1422" s="45"/>
    </row>
    <row r="1423" spans="10:15">
      <c r="J1423" s="9"/>
      <c r="K1423" s="13"/>
      <c r="N1423" s="20"/>
      <c r="O1423" s="45"/>
    </row>
    <row r="1424" spans="10:15">
      <c r="J1424" s="9"/>
      <c r="K1424" s="13"/>
      <c r="N1424" s="20"/>
      <c r="O1424" s="45"/>
    </row>
    <row r="1425" spans="10:15">
      <c r="J1425" s="9"/>
      <c r="K1425" s="13"/>
      <c r="N1425" s="20"/>
      <c r="O1425" s="45"/>
    </row>
    <row r="1426" spans="10:15">
      <c r="J1426" s="9"/>
      <c r="K1426" s="13"/>
      <c r="N1426" s="20"/>
      <c r="O1426" s="45"/>
    </row>
    <row r="1427" spans="10:15">
      <c r="J1427" s="9"/>
      <c r="K1427" s="13"/>
      <c r="N1427" s="20"/>
      <c r="O1427" s="45"/>
    </row>
    <row r="1428" spans="10:15">
      <c r="J1428" s="9"/>
      <c r="K1428" s="13"/>
      <c r="N1428" s="20"/>
      <c r="O1428" s="45"/>
    </row>
    <row r="1429" spans="10:15">
      <c r="J1429" s="9"/>
      <c r="K1429" s="13"/>
      <c r="N1429" s="20"/>
      <c r="O1429" s="45"/>
    </row>
    <row r="1430" spans="10:15">
      <c r="J1430" s="9"/>
      <c r="K1430" s="13"/>
      <c r="N1430" s="20"/>
      <c r="O1430" s="45"/>
    </row>
    <row r="1431" spans="10:15">
      <c r="J1431" s="9"/>
      <c r="K1431" s="13"/>
      <c r="N1431" s="20"/>
      <c r="O1431" s="45"/>
    </row>
    <row r="1432" spans="10:15">
      <c r="J1432" s="9"/>
      <c r="K1432" s="13"/>
      <c r="N1432" s="20"/>
      <c r="O1432" s="45"/>
    </row>
    <row r="1433" spans="10:15">
      <c r="J1433" s="9"/>
      <c r="K1433" s="13"/>
      <c r="N1433" s="20"/>
      <c r="O1433" s="45"/>
    </row>
    <row r="1434" spans="10:15">
      <c r="J1434" s="9"/>
      <c r="K1434" s="13"/>
      <c r="N1434" s="20"/>
      <c r="O1434" s="45"/>
    </row>
    <row r="1435" spans="10:15">
      <c r="J1435" s="9"/>
      <c r="K1435" s="13"/>
      <c r="N1435" s="20"/>
      <c r="O1435" s="45"/>
    </row>
    <row r="1436" spans="10:15">
      <c r="J1436" s="9"/>
      <c r="K1436" s="13"/>
      <c r="N1436" s="20"/>
      <c r="O1436" s="45"/>
    </row>
    <row r="1437" spans="10:15">
      <c r="J1437" s="9"/>
      <c r="K1437" s="13"/>
      <c r="N1437" s="20"/>
      <c r="O1437" s="45"/>
    </row>
    <row r="1438" spans="10:15">
      <c r="J1438" s="9"/>
      <c r="K1438" s="13"/>
      <c r="N1438" s="20"/>
      <c r="O1438" s="45"/>
    </row>
    <row r="1439" spans="10:15">
      <c r="J1439" s="9"/>
      <c r="K1439" s="13"/>
      <c r="N1439" s="20"/>
      <c r="O1439" s="45"/>
    </row>
    <row r="1440" spans="10:15">
      <c r="J1440" s="9"/>
      <c r="K1440" s="13"/>
      <c r="N1440" s="20"/>
      <c r="O1440" s="45"/>
    </row>
    <row r="1441" spans="10:15">
      <c r="J1441" s="9"/>
      <c r="K1441" s="13"/>
      <c r="N1441" s="20"/>
      <c r="O1441" s="45"/>
    </row>
    <row r="1442" spans="10:15">
      <c r="J1442" s="9"/>
      <c r="K1442" s="13"/>
      <c r="N1442" s="20"/>
      <c r="O1442" s="45"/>
    </row>
    <row r="1443" spans="10:15">
      <c r="J1443" s="9"/>
      <c r="K1443" s="13"/>
      <c r="N1443" s="20"/>
      <c r="O1443" s="45"/>
    </row>
    <row r="1444" spans="10:15">
      <c r="J1444" s="9"/>
      <c r="K1444" s="13"/>
      <c r="N1444" s="20"/>
      <c r="O1444" s="45"/>
    </row>
    <row r="1445" spans="10:15">
      <c r="J1445" s="9"/>
      <c r="K1445" s="13"/>
      <c r="N1445" s="20"/>
      <c r="O1445" s="45"/>
    </row>
    <row r="1446" spans="10:15">
      <c r="J1446" s="9"/>
      <c r="K1446" s="13"/>
      <c r="N1446" s="20"/>
      <c r="O1446" s="45"/>
    </row>
    <row r="1447" spans="10:15">
      <c r="J1447" s="9"/>
      <c r="K1447" s="13"/>
      <c r="N1447" s="20"/>
      <c r="O1447" s="45"/>
    </row>
    <row r="1448" spans="10:15">
      <c r="J1448" s="9"/>
      <c r="K1448" s="13"/>
      <c r="N1448" s="20"/>
      <c r="O1448" s="45"/>
    </row>
    <row r="1449" spans="10:15">
      <c r="J1449" s="9"/>
      <c r="K1449" s="13"/>
      <c r="N1449" s="20"/>
      <c r="O1449" s="45"/>
    </row>
    <row r="1450" spans="10:15">
      <c r="J1450" s="9"/>
      <c r="K1450" s="13"/>
      <c r="N1450" s="20"/>
      <c r="O1450" s="45"/>
    </row>
    <row r="1451" spans="10:15">
      <c r="J1451" s="9"/>
      <c r="K1451" s="13"/>
      <c r="N1451" s="20"/>
      <c r="O1451" s="45"/>
    </row>
    <row r="1452" spans="10:15">
      <c r="J1452" s="9"/>
      <c r="K1452" s="13"/>
      <c r="N1452" s="20"/>
      <c r="O1452" s="45"/>
    </row>
    <row r="1453" spans="10:15">
      <c r="J1453" s="9"/>
      <c r="K1453" s="13"/>
      <c r="N1453" s="20"/>
      <c r="O1453" s="45"/>
    </row>
    <row r="1454" spans="10:15">
      <c r="J1454" s="9"/>
      <c r="K1454" s="13"/>
      <c r="N1454" s="20"/>
      <c r="O1454" s="45"/>
    </row>
    <row r="1455" spans="10:15">
      <c r="J1455" s="9"/>
      <c r="K1455" s="13"/>
      <c r="N1455" s="20"/>
      <c r="O1455" s="45"/>
    </row>
    <row r="1456" spans="10:15">
      <c r="J1456" s="9"/>
      <c r="K1456" s="13"/>
      <c r="N1456" s="20"/>
      <c r="O1456" s="45"/>
    </row>
    <row r="1457" spans="10:15">
      <c r="J1457" s="9"/>
      <c r="K1457" s="13"/>
      <c r="N1457" s="20"/>
      <c r="O1457" s="45"/>
    </row>
    <row r="1458" spans="10:15">
      <c r="J1458" s="9"/>
      <c r="K1458" s="13"/>
      <c r="N1458" s="20"/>
      <c r="O1458" s="45"/>
    </row>
    <row r="1459" spans="10:15">
      <c r="J1459" s="9"/>
      <c r="K1459" s="13"/>
      <c r="N1459" s="20"/>
      <c r="O1459" s="45"/>
    </row>
    <row r="1460" spans="10:15">
      <c r="J1460" s="9"/>
      <c r="K1460" s="13"/>
      <c r="N1460" s="20"/>
      <c r="O1460" s="45"/>
    </row>
    <row r="1461" spans="10:15">
      <c r="J1461" s="9"/>
      <c r="K1461" s="13"/>
      <c r="N1461" s="20"/>
      <c r="O1461" s="45"/>
    </row>
    <row r="1462" spans="10:15">
      <c r="J1462" s="9"/>
      <c r="K1462" s="13"/>
      <c r="N1462" s="20"/>
      <c r="O1462" s="45"/>
    </row>
    <row r="1463" spans="10:15">
      <c r="J1463" s="9"/>
      <c r="K1463" s="13"/>
      <c r="N1463" s="20"/>
      <c r="O1463" s="45"/>
    </row>
    <row r="1464" spans="10:15">
      <c r="J1464" s="9"/>
      <c r="K1464" s="13"/>
      <c r="N1464" s="20"/>
      <c r="O1464" s="45"/>
    </row>
    <row r="1465" spans="10:15">
      <c r="J1465" s="9"/>
      <c r="K1465" s="13"/>
      <c r="N1465" s="20"/>
      <c r="O1465" s="45"/>
    </row>
    <row r="1466" spans="10:15">
      <c r="J1466" s="9"/>
      <c r="K1466" s="13"/>
      <c r="N1466" s="20"/>
      <c r="O1466" s="45"/>
    </row>
    <row r="1467" spans="10:15">
      <c r="J1467" s="9"/>
      <c r="K1467" s="13"/>
      <c r="N1467" s="20"/>
      <c r="O1467" s="45"/>
    </row>
    <row r="1468" spans="10:15">
      <c r="J1468" s="9"/>
      <c r="K1468" s="13"/>
      <c r="N1468" s="20"/>
      <c r="O1468" s="45"/>
    </row>
    <row r="1469" spans="10:15">
      <c r="J1469" s="9"/>
      <c r="K1469" s="13"/>
      <c r="N1469" s="20"/>
      <c r="O1469" s="45"/>
    </row>
    <row r="1470" spans="10:15">
      <c r="J1470" s="9"/>
      <c r="K1470" s="13"/>
      <c r="N1470" s="20"/>
      <c r="O1470" s="45"/>
    </row>
    <row r="1471" spans="10:15">
      <c r="J1471" s="9"/>
      <c r="K1471" s="13"/>
      <c r="N1471" s="20"/>
      <c r="O1471" s="45"/>
    </row>
    <row r="1472" spans="10:15">
      <c r="J1472" s="9"/>
      <c r="K1472" s="13"/>
      <c r="N1472" s="20"/>
      <c r="O1472" s="45"/>
    </row>
    <row r="1473" spans="10:15">
      <c r="J1473" s="9"/>
      <c r="K1473" s="13"/>
      <c r="N1473" s="20"/>
      <c r="O1473" s="45"/>
    </row>
    <row r="1474" spans="10:15">
      <c r="J1474" s="9"/>
      <c r="K1474" s="13"/>
      <c r="N1474" s="20"/>
      <c r="O1474" s="45"/>
    </row>
    <row r="1475" spans="10:15">
      <c r="J1475" s="9"/>
      <c r="K1475" s="13"/>
      <c r="N1475" s="20"/>
      <c r="O1475" s="45"/>
    </row>
    <row r="1476" spans="10:15">
      <c r="J1476" s="9"/>
      <c r="K1476" s="13"/>
      <c r="N1476" s="20"/>
      <c r="O1476" s="45"/>
    </row>
    <row r="1477" spans="10:15">
      <c r="J1477" s="9"/>
      <c r="K1477" s="13"/>
      <c r="N1477" s="20"/>
      <c r="O1477" s="45"/>
    </row>
    <row r="1478" spans="10:15">
      <c r="J1478" s="9"/>
      <c r="K1478" s="13"/>
      <c r="N1478" s="20"/>
      <c r="O1478" s="45"/>
    </row>
    <row r="1479" spans="10:15">
      <c r="J1479" s="9"/>
      <c r="K1479" s="13"/>
      <c r="N1479" s="20"/>
      <c r="O1479" s="45"/>
    </row>
    <row r="1480" spans="10:15">
      <c r="J1480" s="9"/>
      <c r="K1480" s="13"/>
      <c r="N1480" s="20"/>
      <c r="O1480" s="45"/>
    </row>
    <row r="1481" spans="10:15">
      <c r="J1481" s="9"/>
      <c r="K1481" s="13"/>
      <c r="N1481" s="20"/>
      <c r="O1481" s="45"/>
    </row>
    <row r="1482" spans="10:15">
      <c r="J1482" s="9"/>
      <c r="K1482" s="13"/>
      <c r="N1482" s="20"/>
      <c r="O1482" s="45"/>
    </row>
    <row r="1483" spans="10:15">
      <c r="J1483" s="9"/>
      <c r="K1483" s="13"/>
      <c r="N1483" s="20"/>
      <c r="O1483" s="45"/>
    </row>
    <row r="1484" spans="10:15">
      <c r="J1484" s="9"/>
      <c r="K1484" s="13"/>
      <c r="N1484" s="20"/>
      <c r="O1484" s="45"/>
    </row>
    <row r="1485" spans="10:15">
      <c r="J1485" s="9"/>
      <c r="K1485" s="13"/>
      <c r="N1485" s="20"/>
      <c r="O1485" s="45"/>
    </row>
    <row r="1486" spans="10:15">
      <c r="J1486" s="9"/>
      <c r="K1486" s="13"/>
      <c r="N1486" s="20"/>
      <c r="O1486" s="45"/>
    </row>
    <row r="1487" spans="10:15">
      <c r="J1487" s="9"/>
      <c r="K1487" s="13"/>
      <c r="N1487" s="20"/>
      <c r="O1487" s="45"/>
    </row>
    <row r="1488" spans="10:15">
      <c r="J1488" s="9"/>
      <c r="K1488" s="13"/>
      <c r="N1488" s="20"/>
      <c r="O1488" s="45"/>
    </row>
    <row r="1489" spans="10:15">
      <c r="J1489" s="9"/>
      <c r="K1489" s="13"/>
      <c r="N1489" s="20"/>
      <c r="O1489" s="45"/>
    </row>
    <row r="1490" spans="10:15">
      <c r="J1490" s="9"/>
      <c r="K1490" s="13"/>
      <c r="N1490" s="20"/>
      <c r="O1490" s="45"/>
    </row>
    <row r="1491" spans="10:15">
      <c r="J1491" s="9"/>
      <c r="K1491" s="13"/>
      <c r="N1491" s="20"/>
      <c r="O1491" s="45"/>
    </row>
    <row r="1492" spans="10:15">
      <c r="J1492" s="9"/>
      <c r="K1492" s="13"/>
      <c r="N1492" s="20"/>
      <c r="O1492" s="45"/>
    </row>
    <row r="1493" spans="10:15">
      <c r="J1493" s="9"/>
      <c r="K1493" s="13"/>
      <c r="N1493" s="20"/>
      <c r="O1493" s="45"/>
    </row>
    <row r="1494" spans="10:15">
      <c r="J1494" s="9"/>
      <c r="K1494" s="13"/>
      <c r="N1494" s="20"/>
      <c r="O1494" s="45"/>
    </row>
    <row r="1495" spans="10:15">
      <c r="J1495" s="9"/>
      <c r="K1495" s="13"/>
      <c r="N1495" s="20"/>
      <c r="O1495" s="45"/>
    </row>
    <row r="1496" spans="10:15">
      <c r="J1496" s="9"/>
      <c r="K1496" s="13"/>
      <c r="N1496" s="20"/>
      <c r="O1496" s="45"/>
    </row>
    <row r="1497" spans="10:15">
      <c r="J1497" s="9"/>
      <c r="K1497" s="13"/>
      <c r="N1497" s="20"/>
      <c r="O1497" s="45"/>
    </row>
    <row r="1498" spans="10:15">
      <c r="J1498" s="9"/>
      <c r="K1498" s="13"/>
      <c r="N1498" s="20"/>
      <c r="O1498" s="45"/>
    </row>
    <row r="1499" spans="10:15">
      <c r="J1499" s="9"/>
      <c r="K1499" s="13"/>
      <c r="N1499" s="20"/>
      <c r="O1499" s="45"/>
    </row>
    <row r="1500" spans="10:15">
      <c r="J1500" s="9"/>
      <c r="K1500" s="13"/>
      <c r="N1500" s="20"/>
      <c r="O1500" s="45"/>
    </row>
    <row r="1501" spans="10:15">
      <c r="J1501" s="9"/>
      <c r="K1501" s="13"/>
      <c r="N1501" s="20"/>
      <c r="O1501" s="45"/>
    </row>
    <row r="1502" spans="10:15">
      <c r="J1502" s="9"/>
      <c r="K1502" s="13"/>
      <c r="N1502" s="20"/>
      <c r="O1502" s="45"/>
    </row>
    <row r="1503" spans="10:15">
      <c r="J1503" s="9"/>
      <c r="K1503" s="13"/>
      <c r="N1503" s="20"/>
      <c r="O1503" s="45"/>
    </row>
    <row r="1504" spans="10:15">
      <c r="J1504" s="9"/>
      <c r="K1504" s="13"/>
      <c r="N1504" s="20"/>
      <c r="O1504" s="45"/>
    </row>
    <row r="1505" spans="10:15">
      <c r="J1505" s="9"/>
      <c r="K1505" s="13"/>
      <c r="N1505" s="20"/>
      <c r="O1505" s="45"/>
    </row>
    <row r="1506" spans="10:15">
      <c r="J1506" s="9"/>
      <c r="K1506" s="13"/>
      <c r="N1506" s="20"/>
      <c r="O1506" s="45"/>
    </row>
    <row r="1507" spans="10:15">
      <c r="J1507" s="9"/>
      <c r="K1507" s="13"/>
      <c r="N1507" s="20"/>
      <c r="O1507" s="45"/>
    </row>
    <row r="1508" spans="10:15">
      <c r="J1508" s="9"/>
      <c r="K1508" s="13"/>
      <c r="N1508" s="20"/>
      <c r="O1508" s="45"/>
    </row>
    <row r="1509" spans="10:15">
      <c r="J1509" s="9"/>
      <c r="K1509" s="13"/>
      <c r="N1509" s="20"/>
      <c r="O1509" s="45"/>
    </row>
    <row r="1510" spans="10:15">
      <c r="J1510" s="9"/>
      <c r="K1510" s="13"/>
      <c r="N1510" s="20"/>
      <c r="O1510" s="45"/>
    </row>
    <row r="1511" spans="10:15">
      <c r="J1511" s="9"/>
      <c r="K1511" s="13"/>
      <c r="N1511" s="20"/>
      <c r="O1511" s="45"/>
    </row>
    <row r="1512" spans="10:15">
      <c r="J1512" s="9"/>
      <c r="K1512" s="13"/>
      <c r="N1512" s="20"/>
      <c r="O1512" s="45"/>
    </row>
    <row r="1513" spans="10:15">
      <c r="J1513" s="9"/>
      <c r="K1513" s="13"/>
      <c r="N1513" s="20"/>
      <c r="O1513" s="45"/>
    </row>
    <row r="1514" spans="10:15">
      <c r="J1514" s="9"/>
      <c r="K1514" s="13"/>
      <c r="N1514" s="20"/>
      <c r="O1514" s="45"/>
    </row>
    <row r="1515" spans="10:15">
      <c r="J1515" s="9"/>
      <c r="K1515" s="13"/>
      <c r="N1515" s="20"/>
      <c r="O1515" s="45"/>
    </row>
    <row r="1516" spans="10:15">
      <c r="J1516" s="9"/>
      <c r="K1516" s="13"/>
      <c r="N1516" s="20"/>
      <c r="O1516" s="45"/>
    </row>
    <row r="1517" spans="10:15">
      <c r="J1517" s="9"/>
      <c r="K1517" s="13"/>
      <c r="N1517" s="20"/>
      <c r="O1517" s="45"/>
    </row>
    <row r="1518" spans="10:15">
      <c r="J1518" s="9"/>
      <c r="K1518" s="13"/>
      <c r="N1518" s="20"/>
      <c r="O1518" s="45"/>
    </row>
    <row r="1519" spans="10:15">
      <c r="J1519" s="9"/>
      <c r="K1519" s="13"/>
      <c r="N1519" s="20"/>
      <c r="O1519" s="45"/>
    </row>
    <row r="1520" spans="10:15">
      <c r="J1520" s="9"/>
      <c r="K1520" s="13"/>
      <c r="N1520" s="20"/>
      <c r="O1520" s="45"/>
    </row>
    <row r="1521" spans="10:15">
      <c r="J1521" s="9"/>
      <c r="K1521" s="13"/>
      <c r="N1521" s="20"/>
      <c r="O1521" s="45"/>
    </row>
    <row r="1522" spans="10:15">
      <c r="J1522" s="9"/>
      <c r="K1522" s="13"/>
      <c r="N1522" s="20"/>
      <c r="O1522" s="45"/>
    </row>
    <row r="1523" spans="10:15">
      <c r="J1523" s="9"/>
      <c r="K1523" s="13"/>
      <c r="N1523" s="20"/>
      <c r="O1523" s="45"/>
    </row>
    <row r="1524" spans="10:15">
      <c r="J1524" s="9"/>
      <c r="K1524" s="13"/>
      <c r="N1524" s="20"/>
      <c r="O1524" s="45"/>
    </row>
    <row r="1525" spans="10:15">
      <c r="J1525" s="9"/>
      <c r="K1525" s="13"/>
      <c r="N1525" s="20"/>
      <c r="O1525" s="45"/>
    </row>
    <row r="1526" spans="10:15">
      <c r="J1526" s="9"/>
      <c r="K1526" s="13"/>
      <c r="N1526" s="20"/>
      <c r="O1526" s="45"/>
    </row>
    <row r="1527" spans="10:15">
      <c r="J1527" s="9"/>
      <c r="K1527" s="13"/>
      <c r="N1527" s="20"/>
      <c r="O1527" s="45"/>
    </row>
    <row r="1528" spans="10:15">
      <c r="J1528" s="9"/>
      <c r="K1528" s="13"/>
      <c r="N1528" s="20"/>
      <c r="O1528" s="45"/>
    </row>
    <row r="1529" spans="10:15">
      <c r="J1529" s="9"/>
      <c r="K1529" s="13"/>
      <c r="N1529" s="20"/>
      <c r="O1529" s="45"/>
    </row>
    <row r="1530" spans="10:15">
      <c r="J1530" s="9"/>
      <c r="K1530" s="13"/>
      <c r="N1530" s="20"/>
      <c r="O1530" s="45"/>
    </row>
    <row r="1531" spans="10:15">
      <c r="J1531" s="9"/>
      <c r="K1531" s="13"/>
      <c r="N1531" s="20"/>
      <c r="O1531" s="45"/>
    </row>
    <row r="1532" spans="10:15">
      <c r="J1532" s="9"/>
      <c r="K1532" s="13"/>
      <c r="N1532" s="20"/>
      <c r="O1532" s="45"/>
    </row>
    <row r="1533" spans="10:15">
      <c r="J1533" s="9"/>
      <c r="K1533" s="13"/>
      <c r="N1533" s="20"/>
      <c r="O1533" s="45"/>
    </row>
    <row r="1534" spans="10:15">
      <c r="J1534" s="9"/>
      <c r="K1534" s="13"/>
      <c r="N1534" s="20"/>
      <c r="O1534" s="45"/>
    </row>
    <row r="1535" spans="10:15">
      <c r="J1535" s="9"/>
      <c r="K1535" s="13"/>
      <c r="N1535" s="20"/>
      <c r="O1535" s="45"/>
    </row>
    <row r="1536" spans="10:15">
      <c r="J1536" s="9"/>
      <c r="K1536" s="13"/>
      <c r="N1536" s="20"/>
      <c r="O1536" s="45"/>
    </row>
    <row r="1537" spans="10:15">
      <c r="J1537" s="9"/>
      <c r="K1537" s="13"/>
      <c r="N1537" s="20"/>
      <c r="O1537" s="45"/>
    </row>
    <row r="1538" spans="10:15">
      <c r="J1538" s="9"/>
      <c r="K1538" s="13"/>
      <c r="N1538" s="20"/>
      <c r="O1538" s="45"/>
    </row>
    <row r="1539" spans="10:15">
      <c r="J1539" s="9"/>
      <c r="K1539" s="13"/>
      <c r="N1539" s="20"/>
      <c r="O1539" s="45"/>
    </row>
    <row r="1540" spans="10:15">
      <c r="J1540" s="9"/>
      <c r="K1540" s="13"/>
      <c r="N1540" s="20"/>
      <c r="O1540" s="45"/>
    </row>
    <row r="1541" spans="10:15">
      <c r="J1541" s="9"/>
      <c r="K1541" s="13"/>
      <c r="N1541" s="20"/>
      <c r="O1541" s="45"/>
    </row>
    <row r="1542" spans="10:15">
      <c r="J1542" s="9"/>
      <c r="K1542" s="13"/>
      <c r="N1542" s="20"/>
      <c r="O1542" s="45"/>
    </row>
    <row r="1543" spans="10:15">
      <c r="J1543" s="9"/>
      <c r="K1543" s="13"/>
      <c r="N1543" s="20"/>
      <c r="O1543" s="45"/>
    </row>
    <row r="1544" spans="10:15">
      <c r="J1544" s="9"/>
      <c r="K1544" s="13"/>
      <c r="N1544" s="20"/>
      <c r="O1544" s="45"/>
    </row>
    <row r="1545" spans="10:15">
      <c r="J1545" s="9"/>
      <c r="K1545" s="13"/>
      <c r="N1545" s="20"/>
      <c r="O1545" s="45"/>
    </row>
    <row r="1546" spans="10:15">
      <c r="J1546" s="9"/>
      <c r="K1546" s="13"/>
      <c r="N1546" s="20"/>
      <c r="O1546" s="45"/>
    </row>
    <row r="1547" spans="10:15">
      <c r="J1547" s="9"/>
      <c r="K1547" s="13"/>
      <c r="N1547" s="20"/>
      <c r="O1547" s="45"/>
    </row>
    <row r="1548" spans="10:15">
      <c r="J1548" s="9"/>
      <c r="K1548" s="13"/>
      <c r="N1548" s="20"/>
      <c r="O1548" s="45"/>
    </row>
    <row r="1549" spans="10:15">
      <c r="J1549" s="9"/>
      <c r="K1549" s="13"/>
      <c r="N1549" s="20"/>
      <c r="O1549" s="45"/>
    </row>
    <row r="1550" spans="10:15">
      <c r="J1550" s="9"/>
      <c r="K1550" s="13"/>
      <c r="N1550" s="20"/>
      <c r="O1550" s="45"/>
    </row>
    <row r="1551" spans="10:15">
      <c r="J1551" s="9"/>
      <c r="K1551" s="13"/>
      <c r="N1551" s="20"/>
      <c r="O1551" s="45"/>
    </row>
    <row r="1552" spans="10:15">
      <c r="J1552" s="9"/>
      <c r="K1552" s="13"/>
      <c r="N1552" s="20"/>
      <c r="O1552" s="45"/>
    </row>
    <row r="1553" spans="10:15">
      <c r="J1553" s="9"/>
      <c r="K1553" s="13"/>
      <c r="N1553" s="20"/>
      <c r="O1553" s="45"/>
    </row>
    <row r="1554" spans="10:15">
      <c r="J1554" s="9"/>
      <c r="K1554" s="13"/>
      <c r="N1554" s="20"/>
      <c r="O1554" s="45"/>
    </row>
    <row r="1555" spans="10:15">
      <c r="J1555" s="9"/>
      <c r="K1555" s="13"/>
      <c r="N1555" s="20"/>
      <c r="O1555" s="45"/>
    </row>
    <row r="1556" spans="10:15">
      <c r="J1556" s="9"/>
      <c r="K1556" s="13"/>
      <c r="N1556" s="20"/>
      <c r="O1556" s="45"/>
    </row>
    <row r="1557" spans="10:15">
      <c r="J1557" s="9"/>
      <c r="K1557" s="13"/>
      <c r="N1557" s="20"/>
      <c r="O1557" s="45"/>
    </row>
    <row r="1558" spans="10:15">
      <c r="J1558" s="9"/>
      <c r="K1558" s="13"/>
      <c r="N1558" s="20"/>
      <c r="O1558" s="45"/>
    </row>
    <row r="1559" spans="10:15">
      <c r="J1559" s="9"/>
      <c r="K1559" s="13"/>
      <c r="N1559" s="20"/>
      <c r="O1559" s="45"/>
    </row>
    <row r="1560" spans="10:15">
      <c r="J1560" s="9"/>
      <c r="K1560" s="13"/>
      <c r="N1560" s="20"/>
      <c r="O1560" s="45"/>
    </row>
    <row r="1561" spans="10:15">
      <c r="J1561" s="9"/>
      <c r="K1561" s="13"/>
      <c r="N1561" s="20"/>
      <c r="O1561" s="45"/>
    </row>
    <row r="1562" spans="10:15">
      <c r="J1562" s="9"/>
      <c r="K1562" s="13"/>
      <c r="N1562" s="20"/>
      <c r="O1562" s="45"/>
    </row>
    <row r="1563" spans="10:15">
      <c r="J1563" s="9"/>
      <c r="K1563" s="13"/>
      <c r="N1563" s="20"/>
      <c r="O1563" s="45"/>
    </row>
    <row r="1564" spans="10:15">
      <c r="J1564" s="9"/>
      <c r="K1564" s="13"/>
      <c r="N1564" s="20"/>
      <c r="O1564" s="45"/>
    </row>
    <row r="1565" spans="10:15">
      <c r="J1565" s="9"/>
      <c r="K1565" s="13"/>
      <c r="N1565" s="20"/>
      <c r="O1565" s="45"/>
    </row>
    <row r="1566" spans="10:15">
      <c r="J1566" s="9"/>
      <c r="K1566" s="13"/>
      <c r="N1566" s="20"/>
      <c r="O1566" s="45"/>
    </row>
    <row r="1567" spans="10:15">
      <c r="J1567" s="9"/>
      <c r="K1567" s="13"/>
      <c r="N1567" s="20"/>
      <c r="O1567" s="45"/>
    </row>
    <row r="1568" spans="10:15">
      <c r="J1568" s="9"/>
      <c r="K1568" s="13"/>
      <c r="N1568" s="20"/>
      <c r="O1568" s="45"/>
    </row>
    <row r="1569" spans="10:15">
      <c r="J1569" s="9"/>
      <c r="K1569" s="13"/>
      <c r="N1569" s="20"/>
      <c r="O1569" s="45"/>
    </row>
    <row r="1570" spans="10:15">
      <c r="J1570" s="9"/>
      <c r="K1570" s="13"/>
      <c r="N1570" s="20"/>
      <c r="O1570" s="45"/>
    </row>
    <row r="1571" spans="10:15">
      <c r="J1571" s="9"/>
      <c r="K1571" s="13"/>
      <c r="N1571" s="20"/>
      <c r="O1571" s="45"/>
    </row>
    <row r="1572" spans="10:15">
      <c r="J1572" s="9"/>
      <c r="K1572" s="13"/>
      <c r="N1572" s="20"/>
      <c r="O1572" s="45"/>
    </row>
    <row r="1573" spans="10:15">
      <c r="J1573" s="9"/>
      <c r="K1573" s="13"/>
      <c r="N1573" s="20"/>
      <c r="O1573" s="45"/>
    </row>
    <row r="1574" spans="10:15">
      <c r="J1574" s="9"/>
      <c r="K1574" s="13"/>
      <c r="N1574" s="20"/>
      <c r="O1574" s="45"/>
    </row>
    <row r="1575" spans="10:15">
      <c r="J1575" s="9"/>
      <c r="K1575" s="13"/>
      <c r="N1575" s="20"/>
      <c r="O1575" s="45"/>
    </row>
    <row r="1576" spans="10:15">
      <c r="J1576" s="9"/>
      <c r="K1576" s="13"/>
      <c r="N1576" s="20"/>
      <c r="O1576" s="45"/>
    </row>
    <row r="1577" spans="10:15">
      <c r="J1577" s="9"/>
      <c r="K1577" s="13"/>
      <c r="N1577" s="20"/>
      <c r="O1577" s="45"/>
    </row>
    <row r="1578" spans="10:15">
      <c r="J1578" s="9"/>
      <c r="K1578" s="13"/>
      <c r="N1578" s="20"/>
      <c r="O1578" s="45"/>
    </row>
    <row r="1579" spans="10:15">
      <c r="J1579" s="9"/>
      <c r="K1579" s="13"/>
      <c r="N1579" s="20"/>
      <c r="O1579" s="45"/>
    </row>
    <row r="1580" spans="10:15">
      <c r="J1580" s="9"/>
      <c r="K1580" s="13"/>
      <c r="N1580" s="20"/>
      <c r="O1580" s="45"/>
    </row>
    <row r="1581" spans="10:15">
      <c r="J1581" s="9"/>
      <c r="K1581" s="13"/>
      <c r="N1581" s="20"/>
      <c r="O1581" s="45"/>
    </row>
    <row r="1582" spans="10:15">
      <c r="J1582" s="9"/>
      <c r="K1582" s="13"/>
      <c r="N1582" s="20"/>
      <c r="O1582" s="45"/>
    </row>
    <row r="1583" spans="10:15">
      <c r="J1583" s="9"/>
      <c r="K1583" s="13"/>
      <c r="N1583" s="20"/>
      <c r="O1583" s="45"/>
    </row>
    <row r="1584" spans="10:15">
      <c r="J1584" s="9"/>
      <c r="K1584" s="13"/>
      <c r="N1584" s="20"/>
      <c r="O1584" s="45"/>
    </row>
    <row r="1585" spans="10:15">
      <c r="J1585" s="9"/>
      <c r="K1585" s="13"/>
      <c r="N1585" s="20"/>
      <c r="O1585" s="45"/>
    </row>
    <row r="1586" spans="10:15">
      <c r="J1586" s="9"/>
      <c r="K1586" s="13"/>
      <c r="N1586" s="20"/>
      <c r="O1586" s="45"/>
    </row>
    <row r="1587" spans="10:15">
      <c r="J1587" s="9"/>
      <c r="K1587" s="13"/>
      <c r="N1587" s="20"/>
      <c r="O1587" s="45"/>
    </row>
    <row r="1588" spans="10:15">
      <c r="J1588" s="9"/>
      <c r="K1588" s="13"/>
      <c r="N1588" s="20"/>
      <c r="O1588" s="45"/>
    </row>
    <row r="1589" spans="10:15">
      <c r="J1589" s="9"/>
      <c r="K1589" s="13"/>
      <c r="N1589" s="20"/>
      <c r="O1589" s="45"/>
    </row>
    <row r="1590" spans="10:15">
      <c r="J1590" s="9"/>
      <c r="K1590" s="13"/>
      <c r="N1590" s="20"/>
      <c r="O1590" s="45"/>
    </row>
    <row r="1591" spans="10:15">
      <c r="J1591" s="9"/>
      <c r="K1591" s="13"/>
      <c r="N1591" s="20"/>
      <c r="O1591" s="45"/>
    </row>
    <row r="1592" spans="10:15">
      <c r="J1592" s="9"/>
      <c r="K1592" s="13"/>
      <c r="N1592" s="20"/>
      <c r="O1592" s="45"/>
    </row>
    <row r="1593" spans="10:15">
      <c r="J1593" s="9"/>
      <c r="K1593" s="13"/>
      <c r="N1593" s="20"/>
      <c r="O1593" s="45"/>
    </row>
    <row r="1594" spans="10:15">
      <c r="J1594" s="9"/>
      <c r="K1594" s="13"/>
      <c r="N1594" s="20"/>
      <c r="O1594" s="45"/>
    </row>
    <row r="1595" spans="10:15">
      <c r="J1595" s="9"/>
      <c r="K1595" s="13"/>
      <c r="N1595" s="20"/>
      <c r="O1595" s="45"/>
    </row>
    <row r="1596" spans="10:15">
      <c r="J1596" s="9"/>
      <c r="K1596" s="13"/>
      <c r="N1596" s="20"/>
      <c r="O1596" s="45"/>
    </row>
    <row r="1597" spans="10:15">
      <c r="J1597" s="9"/>
      <c r="K1597" s="13"/>
      <c r="N1597" s="20"/>
      <c r="O1597" s="45"/>
    </row>
    <row r="1598" spans="10:15">
      <c r="J1598" s="9"/>
      <c r="K1598" s="13"/>
      <c r="N1598" s="20"/>
      <c r="O1598" s="45"/>
    </row>
    <row r="1599" spans="10:15">
      <c r="J1599" s="9"/>
      <c r="K1599" s="13"/>
      <c r="N1599" s="20"/>
      <c r="O1599" s="45"/>
    </row>
    <row r="1600" spans="10:15">
      <c r="J1600" s="9"/>
      <c r="K1600" s="13"/>
      <c r="N1600" s="20"/>
      <c r="O1600" s="45"/>
    </row>
    <row r="1601" spans="10:15">
      <c r="J1601" s="9"/>
      <c r="K1601" s="13"/>
      <c r="N1601" s="20"/>
      <c r="O1601" s="45"/>
    </row>
    <row r="1602" spans="10:15">
      <c r="J1602" s="9"/>
      <c r="K1602" s="13"/>
      <c r="N1602" s="20"/>
      <c r="O1602" s="45"/>
    </row>
    <row r="1603" spans="10:15">
      <c r="J1603" s="9"/>
      <c r="K1603" s="13"/>
      <c r="N1603" s="20"/>
      <c r="O1603" s="45"/>
    </row>
    <row r="1604" spans="10:15">
      <c r="J1604" s="9"/>
      <c r="K1604" s="13"/>
      <c r="N1604" s="20"/>
      <c r="O1604" s="45"/>
    </row>
    <row r="1605" spans="10:15">
      <c r="J1605" s="9"/>
      <c r="K1605" s="13"/>
      <c r="N1605" s="20"/>
      <c r="O1605" s="45"/>
    </row>
    <row r="1606" spans="10:15">
      <c r="J1606" s="9"/>
      <c r="K1606" s="13"/>
      <c r="N1606" s="20"/>
      <c r="O1606" s="45"/>
    </row>
    <row r="1607" spans="10:15">
      <c r="J1607" s="9"/>
      <c r="K1607" s="13"/>
      <c r="N1607" s="20"/>
      <c r="O1607" s="45"/>
    </row>
    <row r="1608" spans="10:15">
      <c r="J1608" s="9"/>
      <c r="K1608" s="13"/>
      <c r="N1608" s="20"/>
      <c r="O1608" s="45"/>
    </row>
    <row r="1609" spans="10:15">
      <c r="J1609" s="9"/>
      <c r="K1609" s="13"/>
      <c r="N1609" s="20"/>
      <c r="O1609" s="45"/>
    </row>
    <row r="1610" spans="10:15">
      <c r="J1610" s="9"/>
      <c r="K1610" s="13"/>
      <c r="N1610" s="20"/>
      <c r="O1610" s="45"/>
    </row>
    <row r="1611" spans="10:15">
      <c r="J1611" s="9"/>
      <c r="K1611" s="13"/>
      <c r="N1611" s="20"/>
      <c r="O1611" s="45"/>
    </row>
    <row r="1612" spans="10:15">
      <c r="J1612" s="9"/>
      <c r="K1612" s="13"/>
      <c r="N1612" s="20"/>
      <c r="O1612" s="45"/>
    </row>
    <row r="1613" spans="10:15">
      <c r="J1613" s="9"/>
      <c r="K1613" s="13"/>
      <c r="N1613" s="20"/>
      <c r="O1613" s="45"/>
    </row>
    <row r="1614" spans="10:15">
      <c r="J1614" s="9"/>
      <c r="K1614" s="13"/>
      <c r="N1614" s="20"/>
      <c r="O1614" s="45"/>
    </row>
    <row r="1615" spans="10:15">
      <c r="J1615" s="9"/>
      <c r="K1615" s="13"/>
      <c r="N1615" s="20"/>
      <c r="O1615" s="45"/>
    </row>
    <row r="1616" spans="10:15">
      <c r="J1616" s="9"/>
      <c r="K1616" s="13"/>
      <c r="N1616" s="20"/>
      <c r="O1616" s="45"/>
    </row>
    <row r="1617" spans="10:15">
      <c r="J1617" s="9"/>
      <c r="K1617" s="13"/>
      <c r="N1617" s="20"/>
      <c r="O1617" s="45"/>
    </row>
    <row r="1618" spans="10:15">
      <c r="J1618" s="9"/>
      <c r="K1618" s="13"/>
      <c r="N1618" s="20"/>
      <c r="O1618" s="45"/>
    </row>
    <row r="1619" spans="10:15">
      <c r="J1619" s="9"/>
      <c r="K1619" s="13"/>
      <c r="N1619" s="20"/>
      <c r="O1619" s="45"/>
    </row>
    <row r="1620" spans="10:15">
      <c r="J1620" s="9"/>
      <c r="K1620" s="13"/>
      <c r="N1620" s="20"/>
      <c r="O1620" s="45"/>
    </row>
    <row r="1621" spans="10:15">
      <c r="J1621" s="9"/>
      <c r="K1621" s="13"/>
      <c r="N1621" s="20"/>
      <c r="O1621" s="45"/>
    </row>
    <row r="1622" spans="10:15">
      <c r="J1622" s="9"/>
      <c r="K1622" s="13"/>
      <c r="N1622" s="20"/>
      <c r="O1622" s="45"/>
    </row>
    <row r="1623" spans="10:15">
      <c r="J1623" s="9"/>
      <c r="K1623" s="13"/>
      <c r="N1623" s="20"/>
      <c r="O1623" s="45"/>
    </row>
    <row r="1624" spans="10:15">
      <c r="J1624" s="9"/>
      <c r="K1624" s="13"/>
      <c r="N1624" s="20"/>
      <c r="O1624" s="45"/>
    </row>
    <row r="1625" spans="10:15">
      <c r="J1625" s="9"/>
      <c r="K1625" s="13"/>
      <c r="N1625" s="20"/>
      <c r="O1625" s="45"/>
    </row>
    <row r="1626" spans="10:15">
      <c r="J1626" s="9"/>
      <c r="K1626" s="13"/>
      <c r="N1626" s="20"/>
      <c r="O1626" s="45"/>
    </row>
    <row r="1627" spans="10:15">
      <c r="J1627" s="9"/>
      <c r="K1627" s="13"/>
      <c r="N1627" s="20"/>
      <c r="O1627" s="45"/>
    </row>
    <row r="1628" spans="10:15">
      <c r="J1628" s="9"/>
      <c r="K1628" s="13"/>
      <c r="N1628" s="20"/>
      <c r="O1628" s="45"/>
    </row>
    <row r="1629" spans="10:15">
      <c r="J1629" s="9"/>
      <c r="K1629" s="13"/>
      <c r="N1629" s="20"/>
      <c r="O1629" s="45"/>
    </row>
    <row r="1630" spans="10:15">
      <c r="J1630" s="9"/>
      <c r="K1630" s="13"/>
      <c r="N1630" s="20"/>
      <c r="O1630" s="45"/>
    </row>
    <row r="1631" spans="10:15">
      <c r="J1631" s="9"/>
      <c r="K1631" s="13"/>
      <c r="N1631" s="20"/>
      <c r="O1631" s="45"/>
    </row>
    <row r="1632" spans="10:15">
      <c r="J1632" s="9"/>
      <c r="K1632" s="13"/>
      <c r="N1632" s="20"/>
      <c r="O1632" s="45"/>
    </row>
    <row r="1633" spans="10:15">
      <c r="J1633" s="9"/>
      <c r="K1633" s="13"/>
      <c r="N1633" s="20"/>
      <c r="O1633" s="45"/>
    </row>
    <row r="1634" spans="10:15">
      <c r="J1634" s="9"/>
      <c r="K1634" s="13"/>
      <c r="N1634" s="20"/>
      <c r="O1634" s="45"/>
    </row>
    <row r="1635" spans="10:15">
      <c r="J1635" s="9"/>
      <c r="K1635" s="13"/>
      <c r="N1635" s="20"/>
      <c r="O1635" s="45"/>
    </row>
    <row r="1636" spans="10:15">
      <c r="J1636" s="9"/>
      <c r="K1636" s="13"/>
      <c r="N1636" s="20"/>
      <c r="O1636" s="45"/>
    </row>
    <row r="1637" spans="10:15">
      <c r="J1637" s="9"/>
      <c r="K1637" s="13"/>
      <c r="N1637" s="20"/>
      <c r="O1637" s="45"/>
    </row>
    <row r="1638" spans="10:15">
      <c r="J1638" s="9"/>
      <c r="K1638" s="13"/>
      <c r="N1638" s="20"/>
      <c r="O1638" s="45"/>
    </row>
    <row r="1639" spans="10:15">
      <c r="J1639" s="9"/>
      <c r="K1639" s="13"/>
      <c r="N1639" s="20"/>
      <c r="O1639" s="45"/>
    </row>
    <row r="1640" spans="10:15">
      <c r="J1640" s="9"/>
      <c r="K1640" s="13"/>
      <c r="N1640" s="20"/>
      <c r="O1640" s="45"/>
    </row>
    <row r="1641" spans="10:15">
      <c r="J1641" s="9"/>
      <c r="K1641" s="13"/>
      <c r="N1641" s="20"/>
      <c r="O1641" s="45"/>
    </row>
    <row r="1642" spans="10:15">
      <c r="J1642" s="9"/>
      <c r="K1642" s="13"/>
      <c r="N1642" s="20"/>
      <c r="O1642" s="45"/>
    </row>
    <row r="1643" spans="10:15">
      <c r="J1643" s="9"/>
      <c r="K1643" s="13"/>
      <c r="N1643" s="20"/>
      <c r="O1643" s="45"/>
    </row>
    <row r="1644" spans="10:15">
      <c r="J1644" s="9"/>
      <c r="K1644" s="13"/>
      <c r="N1644" s="20"/>
      <c r="O1644" s="45"/>
    </row>
    <row r="1645" spans="10:15">
      <c r="J1645" s="9"/>
      <c r="K1645" s="13"/>
      <c r="N1645" s="20"/>
      <c r="O1645" s="45"/>
    </row>
    <row r="1646" spans="10:15">
      <c r="J1646" s="9"/>
      <c r="K1646" s="13"/>
      <c r="N1646" s="20"/>
      <c r="O1646" s="45"/>
    </row>
    <row r="1647" spans="10:15">
      <c r="J1647" s="9"/>
      <c r="K1647" s="13"/>
      <c r="N1647" s="20"/>
      <c r="O1647" s="45"/>
    </row>
    <row r="1648" spans="10:15">
      <c r="J1648" s="9"/>
      <c r="K1648" s="13"/>
      <c r="N1648" s="20"/>
      <c r="O1648" s="45"/>
    </row>
    <row r="1649" spans="10:15">
      <c r="J1649" s="9"/>
      <c r="K1649" s="13"/>
      <c r="N1649" s="20"/>
      <c r="O1649" s="45"/>
    </row>
    <row r="1650" spans="10:15">
      <c r="J1650" s="9"/>
      <c r="K1650" s="13"/>
      <c r="N1650" s="20"/>
      <c r="O1650" s="45"/>
    </row>
    <row r="1651" spans="10:15">
      <c r="J1651" s="9"/>
      <c r="K1651" s="13"/>
      <c r="N1651" s="20"/>
      <c r="O1651" s="45"/>
    </row>
    <row r="1652" spans="10:15">
      <c r="J1652" s="9"/>
      <c r="K1652" s="13"/>
      <c r="N1652" s="20"/>
      <c r="O1652" s="45"/>
    </row>
    <row r="1653" spans="10:15">
      <c r="J1653" s="9"/>
      <c r="K1653" s="13"/>
      <c r="N1653" s="20"/>
      <c r="O1653" s="45"/>
    </row>
    <row r="1654" spans="10:15">
      <c r="J1654" s="9"/>
      <c r="K1654" s="13"/>
      <c r="N1654" s="20"/>
      <c r="O1654" s="45"/>
    </row>
    <row r="1655" spans="10:15">
      <c r="J1655" s="9"/>
      <c r="K1655" s="13"/>
      <c r="N1655" s="20"/>
      <c r="O1655" s="45"/>
    </row>
    <row r="1656" spans="10:15">
      <c r="J1656" s="9"/>
      <c r="K1656" s="13"/>
      <c r="N1656" s="20"/>
      <c r="O1656" s="45"/>
    </row>
    <row r="1657" spans="10:15">
      <c r="J1657" s="9"/>
      <c r="K1657" s="13"/>
      <c r="N1657" s="20"/>
      <c r="O1657" s="45"/>
    </row>
    <row r="1658" spans="10:15">
      <c r="J1658" s="9"/>
      <c r="K1658" s="13"/>
      <c r="N1658" s="20"/>
      <c r="O1658" s="45"/>
    </row>
    <row r="1659" spans="10:15">
      <c r="J1659" s="9"/>
      <c r="K1659" s="13"/>
      <c r="N1659" s="20"/>
      <c r="O1659" s="45"/>
    </row>
    <row r="1660" spans="10:15">
      <c r="J1660" s="9"/>
      <c r="K1660" s="13"/>
      <c r="N1660" s="20"/>
      <c r="O1660" s="45"/>
    </row>
    <row r="1661" spans="10:15">
      <c r="J1661" s="9"/>
      <c r="K1661" s="13"/>
      <c r="N1661" s="20"/>
      <c r="O1661" s="45"/>
    </row>
    <row r="1662" spans="10:15">
      <c r="J1662" s="9"/>
      <c r="K1662" s="13"/>
      <c r="N1662" s="20"/>
      <c r="O1662" s="45"/>
    </row>
    <row r="1663" spans="10:15">
      <c r="J1663" s="9"/>
      <c r="K1663" s="13"/>
      <c r="N1663" s="20"/>
      <c r="O1663" s="45"/>
    </row>
    <row r="1664" spans="10:15">
      <c r="J1664" s="9"/>
      <c r="K1664" s="13"/>
      <c r="N1664" s="20"/>
      <c r="O1664" s="45"/>
    </row>
    <row r="1665" spans="10:15">
      <c r="J1665" s="9"/>
      <c r="K1665" s="13"/>
      <c r="N1665" s="20"/>
      <c r="O1665" s="45"/>
    </row>
    <row r="1666" spans="10:15">
      <c r="J1666" s="9"/>
      <c r="K1666" s="13"/>
      <c r="N1666" s="20"/>
      <c r="O1666" s="45"/>
    </row>
    <row r="1667" spans="10:15">
      <c r="J1667" s="9"/>
      <c r="K1667" s="13"/>
      <c r="N1667" s="20"/>
      <c r="O1667" s="45"/>
    </row>
    <row r="1668" spans="10:15">
      <c r="J1668" s="9"/>
      <c r="K1668" s="13"/>
      <c r="N1668" s="20"/>
      <c r="O1668" s="45"/>
    </row>
    <row r="1669" spans="10:15">
      <c r="J1669" s="9"/>
      <c r="K1669" s="13"/>
      <c r="N1669" s="20"/>
      <c r="O1669" s="45"/>
    </row>
    <row r="1670" spans="10:15">
      <c r="J1670" s="9"/>
      <c r="K1670" s="13"/>
      <c r="N1670" s="20"/>
      <c r="O1670" s="45"/>
    </row>
    <row r="1671" spans="10:15">
      <c r="J1671" s="9"/>
      <c r="K1671" s="13"/>
      <c r="N1671" s="20"/>
      <c r="O1671" s="45"/>
    </row>
    <row r="1672" spans="10:15">
      <c r="J1672" s="9"/>
      <c r="K1672" s="13"/>
      <c r="N1672" s="20"/>
      <c r="O1672" s="45"/>
    </row>
    <row r="1673" spans="10:15">
      <c r="J1673" s="9"/>
      <c r="K1673" s="13"/>
      <c r="N1673" s="20"/>
      <c r="O1673" s="45"/>
    </row>
    <row r="1674" spans="10:15">
      <c r="J1674" s="9"/>
      <c r="K1674" s="13"/>
      <c r="N1674" s="20"/>
      <c r="O1674" s="45"/>
    </row>
    <row r="1675" spans="10:15">
      <c r="J1675" s="9"/>
      <c r="K1675" s="13"/>
      <c r="N1675" s="20"/>
      <c r="O1675" s="45"/>
    </row>
    <row r="1676" spans="10:15">
      <c r="J1676" s="9"/>
      <c r="K1676" s="13"/>
      <c r="N1676" s="20"/>
      <c r="O1676" s="45"/>
    </row>
    <row r="1677" spans="10:15">
      <c r="J1677" s="9"/>
      <c r="K1677" s="13"/>
      <c r="N1677" s="20"/>
      <c r="O1677" s="45"/>
    </row>
    <row r="1678" spans="10:15">
      <c r="J1678" s="9"/>
      <c r="K1678" s="13"/>
      <c r="N1678" s="20"/>
      <c r="O1678" s="45"/>
    </row>
    <row r="1679" spans="10:15">
      <c r="J1679" s="9"/>
      <c r="K1679" s="13"/>
      <c r="N1679" s="20"/>
      <c r="O1679" s="45"/>
    </row>
    <row r="1680" spans="10:15">
      <c r="J1680" s="9"/>
      <c r="K1680" s="13"/>
      <c r="N1680" s="20"/>
      <c r="O1680" s="45"/>
    </row>
    <row r="1681" spans="10:15">
      <c r="J1681" s="9"/>
      <c r="K1681" s="13"/>
      <c r="N1681" s="20"/>
      <c r="O1681" s="45"/>
    </row>
    <row r="1682" spans="10:15">
      <c r="J1682" s="9"/>
      <c r="K1682" s="13"/>
      <c r="N1682" s="20"/>
      <c r="O1682" s="45"/>
    </row>
    <row r="1683" spans="10:15">
      <c r="J1683" s="9"/>
      <c r="K1683" s="13"/>
      <c r="N1683" s="20"/>
      <c r="O1683" s="45"/>
    </row>
    <row r="1684" spans="10:15">
      <c r="J1684" s="9"/>
      <c r="K1684" s="13"/>
      <c r="N1684" s="20"/>
      <c r="O1684" s="45"/>
    </row>
    <row r="1685" spans="10:15">
      <c r="J1685" s="9"/>
      <c r="K1685" s="13"/>
      <c r="N1685" s="20"/>
      <c r="O1685" s="45"/>
    </row>
    <row r="1686" spans="10:15">
      <c r="J1686" s="9"/>
      <c r="K1686" s="13"/>
      <c r="N1686" s="20"/>
      <c r="O1686" s="45"/>
    </row>
    <row r="1687" spans="10:15">
      <c r="J1687" s="9"/>
      <c r="K1687" s="13"/>
      <c r="N1687" s="20"/>
      <c r="O1687" s="45"/>
    </row>
    <row r="1688" spans="10:15">
      <c r="J1688" s="9"/>
      <c r="K1688" s="13"/>
      <c r="N1688" s="20"/>
      <c r="O1688" s="45"/>
    </row>
    <row r="1689" spans="10:15">
      <c r="J1689" s="9"/>
      <c r="K1689" s="13"/>
      <c r="N1689" s="20"/>
      <c r="O1689" s="45"/>
    </row>
    <row r="1690" spans="10:15">
      <c r="J1690" s="9"/>
      <c r="K1690" s="13"/>
      <c r="N1690" s="20"/>
      <c r="O1690" s="45"/>
    </row>
    <row r="1691" spans="10:15">
      <c r="J1691" s="9"/>
      <c r="K1691" s="13"/>
      <c r="N1691" s="20"/>
      <c r="O1691" s="45"/>
    </row>
    <row r="1692" spans="10:15">
      <c r="J1692" s="9"/>
      <c r="K1692" s="13"/>
      <c r="N1692" s="20"/>
      <c r="O1692" s="45"/>
    </row>
    <row r="1693" spans="10:15">
      <c r="J1693" s="9"/>
      <c r="K1693" s="13"/>
      <c r="N1693" s="20"/>
      <c r="O1693" s="45"/>
    </row>
    <row r="1694" spans="10:15">
      <c r="J1694" s="9"/>
      <c r="K1694" s="13"/>
      <c r="N1694" s="20"/>
      <c r="O1694" s="45"/>
    </row>
    <row r="1695" spans="10:15">
      <c r="J1695" s="9"/>
      <c r="K1695" s="13"/>
      <c r="N1695" s="20"/>
      <c r="O1695" s="45"/>
    </row>
    <row r="1696" spans="10:15">
      <c r="J1696" s="9"/>
      <c r="K1696" s="13"/>
      <c r="N1696" s="20"/>
      <c r="O1696" s="45"/>
    </row>
    <row r="1697" spans="10:15">
      <c r="J1697" s="9"/>
      <c r="K1697" s="13"/>
      <c r="N1697" s="20"/>
      <c r="O1697" s="45"/>
    </row>
    <row r="1698" spans="10:15">
      <c r="J1698" s="9"/>
      <c r="K1698" s="13"/>
      <c r="N1698" s="20"/>
      <c r="O1698" s="45"/>
    </row>
    <row r="1699" spans="10:15">
      <c r="J1699" s="9"/>
      <c r="K1699" s="13"/>
      <c r="N1699" s="20"/>
      <c r="O1699" s="45"/>
    </row>
    <row r="1700" spans="10:15">
      <c r="J1700" s="9"/>
      <c r="K1700" s="13"/>
      <c r="N1700" s="20"/>
      <c r="O1700" s="45"/>
    </row>
    <row r="1701" spans="10:15">
      <c r="J1701" s="9"/>
      <c r="K1701" s="13"/>
      <c r="N1701" s="20"/>
      <c r="O1701" s="45"/>
    </row>
    <row r="1702" spans="10:15">
      <c r="J1702" s="9"/>
      <c r="K1702" s="13"/>
      <c r="N1702" s="20"/>
      <c r="O1702" s="45"/>
    </row>
    <row r="1703" spans="10:15">
      <c r="J1703" s="9"/>
      <c r="K1703" s="13"/>
      <c r="N1703" s="20"/>
      <c r="O1703" s="45"/>
    </row>
    <row r="1704" spans="10:15">
      <c r="J1704" s="9"/>
      <c r="K1704" s="13"/>
      <c r="N1704" s="20"/>
      <c r="O1704" s="45"/>
    </row>
    <row r="1705" spans="10:15">
      <c r="J1705" s="9"/>
      <c r="K1705" s="13"/>
      <c r="N1705" s="20"/>
      <c r="O1705" s="45"/>
    </row>
    <row r="1706" spans="10:15">
      <c r="J1706" s="9"/>
      <c r="K1706" s="13"/>
      <c r="N1706" s="20"/>
      <c r="O1706" s="45"/>
    </row>
    <row r="1707" spans="10:15">
      <c r="J1707" s="9"/>
      <c r="K1707" s="13"/>
      <c r="N1707" s="20"/>
      <c r="O1707" s="45"/>
    </row>
    <row r="1708" spans="10:15">
      <c r="J1708" s="9"/>
      <c r="K1708" s="13"/>
      <c r="N1708" s="20"/>
      <c r="O1708" s="45"/>
    </row>
    <row r="1709" spans="10:15">
      <c r="J1709" s="9"/>
      <c r="K1709" s="13"/>
      <c r="N1709" s="20"/>
      <c r="O1709" s="45"/>
    </row>
    <row r="1710" spans="10:15">
      <c r="J1710" s="9"/>
      <c r="K1710" s="13"/>
      <c r="N1710" s="20"/>
      <c r="O1710" s="45"/>
    </row>
    <row r="1711" spans="10:15">
      <c r="J1711" s="9"/>
      <c r="K1711" s="13"/>
      <c r="N1711" s="20"/>
      <c r="O1711" s="45"/>
    </row>
    <row r="1712" spans="10:15">
      <c r="J1712" s="9"/>
      <c r="K1712" s="13"/>
      <c r="N1712" s="20"/>
      <c r="O1712" s="45"/>
    </row>
    <row r="1713" spans="10:15">
      <c r="J1713" s="9"/>
      <c r="K1713" s="13"/>
      <c r="N1713" s="20"/>
      <c r="O1713" s="45"/>
    </row>
    <row r="1714" spans="10:15">
      <c r="J1714" s="9"/>
      <c r="K1714" s="13"/>
      <c r="N1714" s="20"/>
      <c r="O1714" s="45"/>
    </row>
    <row r="1715" spans="10:15">
      <c r="J1715" s="9"/>
      <c r="K1715" s="13"/>
      <c r="N1715" s="20"/>
      <c r="O1715" s="45"/>
    </row>
    <row r="1716" spans="10:15">
      <c r="J1716" s="9"/>
      <c r="K1716" s="13"/>
      <c r="N1716" s="20"/>
      <c r="O1716" s="45"/>
    </row>
    <row r="1717" spans="10:15">
      <c r="J1717" s="9"/>
      <c r="K1717" s="13"/>
      <c r="N1717" s="20"/>
      <c r="O1717" s="45"/>
    </row>
    <row r="1718" spans="10:15">
      <c r="J1718" s="9"/>
      <c r="K1718" s="13"/>
      <c r="N1718" s="20"/>
      <c r="O1718" s="45"/>
    </row>
    <row r="1719" spans="10:15">
      <c r="J1719" s="9"/>
      <c r="K1719" s="13"/>
      <c r="N1719" s="20"/>
      <c r="O1719" s="45"/>
    </row>
    <row r="1720" spans="10:15">
      <c r="J1720" s="9"/>
      <c r="K1720" s="13"/>
      <c r="N1720" s="20"/>
      <c r="O1720" s="45"/>
    </row>
    <row r="1721" spans="10:15">
      <c r="J1721" s="9"/>
      <c r="K1721" s="13"/>
      <c r="N1721" s="20"/>
      <c r="O1721" s="45"/>
    </row>
    <row r="1722" spans="10:15">
      <c r="J1722" s="9"/>
      <c r="K1722" s="13"/>
      <c r="N1722" s="20"/>
      <c r="O1722" s="45"/>
    </row>
    <row r="1723" spans="10:15">
      <c r="J1723" s="9"/>
      <c r="K1723" s="13"/>
      <c r="N1723" s="20"/>
      <c r="O1723" s="45"/>
    </row>
    <row r="1724" spans="10:15">
      <c r="J1724" s="9"/>
      <c r="K1724" s="13"/>
      <c r="N1724" s="20"/>
      <c r="O1724" s="45"/>
    </row>
    <row r="1725" spans="10:15">
      <c r="J1725" s="9"/>
      <c r="K1725" s="13"/>
      <c r="N1725" s="20"/>
      <c r="O1725" s="45"/>
    </row>
    <row r="1726" spans="10:15">
      <c r="J1726" s="9"/>
      <c r="K1726" s="13"/>
      <c r="N1726" s="20"/>
      <c r="O1726" s="45"/>
    </row>
    <row r="1727" spans="10:15">
      <c r="J1727" s="9"/>
      <c r="K1727" s="13"/>
      <c r="N1727" s="20"/>
      <c r="O1727" s="45"/>
    </row>
    <row r="1728" spans="10:15">
      <c r="J1728" s="9"/>
      <c r="K1728" s="13"/>
      <c r="N1728" s="20"/>
      <c r="O1728" s="45"/>
    </row>
    <row r="1729" spans="10:15">
      <c r="J1729" s="9"/>
      <c r="K1729" s="13"/>
      <c r="N1729" s="20"/>
      <c r="O1729" s="45"/>
    </row>
    <row r="1730" spans="10:15">
      <c r="J1730" s="9"/>
      <c r="K1730" s="13"/>
      <c r="N1730" s="20"/>
      <c r="O1730" s="45"/>
    </row>
    <row r="1731" spans="10:15">
      <c r="J1731" s="9"/>
      <c r="K1731" s="13"/>
      <c r="N1731" s="20"/>
      <c r="O1731" s="45"/>
    </row>
    <row r="1732" spans="10:15">
      <c r="J1732" s="9"/>
      <c r="N1732" s="20"/>
      <c r="O1732" s="45"/>
    </row>
    <row r="1733" spans="10:15">
      <c r="N1733" s="20"/>
      <c r="O1733" s="45"/>
    </row>
    <row r="1734" spans="10:15">
      <c r="N1734" s="20"/>
      <c r="O1734" s="45"/>
    </row>
    <row r="1735" spans="10:15">
      <c r="N1735" s="20"/>
      <c r="O1735" s="45"/>
    </row>
    <row r="1736" spans="10:15">
      <c r="N1736" s="20"/>
      <c r="O1736" s="45"/>
    </row>
    <row r="1737" spans="10:15">
      <c r="N1737" s="20"/>
      <c r="O1737" s="45"/>
    </row>
    <row r="1738" spans="10:15">
      <c r="N1738" s="20"/>
      <c r="O1738" s="45"/>
    </row>
    <row r="1739" spans="10:15">
      <c r="N1739" s="20"/>
      <c r="O1739" s="45"/>
    </row>
    <row r="1740" spans="10:15">
      <c r="N1740" s="20"/>
      <c r="O1740" s="45"/>
    </row>
    <row r="1741" spans="10:15">
      <c r="N1741" s="20"/>
      <c r="O1741" s="45"/>
    </row>
    <row r="1742" spans="10:15">
      <c r="N1742" s="20"/>
      <c r="O1742" s="45"/>
    </row>
    <row r="1743" spans="10:15">
      <c r="N1743" s="20"/>
      <c r="O1743" s="45"/>
    </row>
    <row r="1744" spans="10:15">
      <c r="N1744" s="20"/>
      <c r="O1744" s="45"/>
    </row>
    <row r="1745" spans="14:15">
      <c r="N1745" s="20"/>
      <c r="O1745" s="45"/>
    </row>
    <row r="1746" spans="14:15">
      <c r="N1746" s="20"/>
      <c r="O1746" s="45"/>
    </row>
    <row r="1747" spans="14:15">
      <c r="N1747" s="20"/>
      <c r="O1747" s="45"/>
    </row>
    <row r="1748" spans="14:15">
      <c r="N1748" s="20"/>
      <c r="O1748" s="45"/>
    </row>
    <row r="1749" spans="14:15">
      <c r="N1749" s="20"/>
      <c r="O1749" s="45"/>
    </row>
    <row r="1750" spans="14:15">
      <c r="N1750" s="20"/>
      <c r="O1750" s="45"/>
    </row>
    <row r="1751" spans="14:15">
      <c r="N1751" s="20"/>
      <c r="O1751" s="45"/>
    </row>
    <row r="1752" spans="14:15">
      <c r="N1752" s="20"/>
      <c r="O1752" s="45"/>
    </row>
    <row r="1753" spans="14:15">
      <c r="N1753" s="20"/>
      <c r="O1753" s="45"/>
    </row>
    <row r="1754" spans="14:15">
      <c r="N1754" s="20"/>
      <c r="O1754" s="45"/>
    </row>
    <row r="1755" spans="14:15">
      <c r="N1755" s="20"/>
      <c r="O1755" s="45"/>
    </row>
    <row r="1756" spans="14:15">
      <c r="N1756" s="20"/>
      <c r="O1756" s="45"/>
    </row>
    <row r="1757" spans="14:15">
      <c r="N1757" s="20"/>
      <c r="O1757" s="45"/>
    </row>
    <row r="1758" spans="14:15">
      <c r="N1758" s="20"/>
      <c r="O1758" s="45"/>
    </row>
    <row r="1759" spans="14:15">
      <c r="N1759" s="20"/>
      <c r="O1759" s="45"/>
    </row>
    <row r="1760" spans="14:15">
      <c r="N1760" s="20"/>
      <c r="O1760" s="45"/>
    </row>
    <row r="1761" spans="14:15">
      <c r="N1761" s="20"/>
      <c r="O1761" s="45"/>
    </row>
    <row r="1762" spans="14:15">
      <c r="N1762" s="20"/>
      <c r="O1762" s="45"/>
    </row>
    <row r="1763" spans="14:15">
      <c r="N1763" s="20"/>
      <c r="O1763" s="45"/>
    </row>
    <row r="1764" spans="14:15">
      <c r="N1764" s="20"/>
      <c r="O1764" s="45"/>
    </row>
    <row r="1765" spans="14:15">
      <c r="N1765" s="20"/>
      <c r="O1765" s="45"/>
    </row>
    <row r="1766" spans="14:15">
      <c r="N1766" s="20"/>
      <c r="O1766" s="45"/>
    </row>
    <row r="1767" spans="14:15">
      <c r="N1767" s="20"/>
      <c r="O1767" s="45"/>
    </row>
    <row r="1768" spans="14:15">
      <c r="N1768" s="20"/>
      <c r="O1768" s="45"/>
    </row>
    <row r="1769" spans="14:15">
      <c r="N1769" s="20"/>
      <c r="O1769" s="45"/>
    </row>
    <row r="1770" spans="14:15">
      <c r="N1770" s="20"/>
      <c r="O1770" s="45"/>
    </row>
    <row r="1771" spans="14:15">
      <c r="N1771" s="20"/>
      <c r="O1771" s="45"/>
    </row>
    <row r="1772" spans="14:15">
      <c r="N1772" s="20"/>
      <c r="O1772" s="45"/>
    </row>
    <row r="1773" spans="14:15">
      <c r="N1773" s="20"/>
      <c r="O1773" s="45"/>
    </row>
    <row r="1774" spans="14:15">
      <c r="N1774" s="20"/>
      <c r="O1774" s="45"/>
    </row>
    <row r="1775" spans="14:15">
      <c r="N1775" s="20"/>
      <c r="O1775" s="45"/>
    </row>
    <row r="1776" spans="14:15">
      <c r="N1776" s="20"/>
      <c r="O1776" s="45"/>
    </row>
    <row r="1777" spans="14:15">
      <c r="N1777" s="20"/>
      <c r="O1777" s="45"/>
    </row>
    <row r="1778" spans="14:15">
      <c r="N1778" s="20"/>
      <c r="O1778" s="45"/>
    </row>
    <row r="1779" spans="14:15">
      <c r="N1779" s="20"/>
      <c r="O1779" s="45"/>
    </row>
    <row r="1780" spans="14:15">
      <c r="N1780" s="20"/>
      <c r="O1780" s="45"/>
    </row>
    <row r="1781" spans="14:15">
      <c r="N1781" s="20"/>
      <c r="O1781" s="45"/>
    </row>
    <row r="1782" spans="14:15">
      <c r="N1782" s="20"/>
      <c r="O1782" s="45"/>
    </row>
    <row r="1783" spans="14:15">
      <c r="N1783" s="20"/>
      <c r="O1783" s="45"/>
    </row>
    <row r="1784" spans="14:15">
      <c r="N1784" s="20"/>
      <c r="O1784" s="45"/>
    </row>
    <row r="1785" spans="14:15">
      <c r="N1785" s="20"/>
      <c r="O1785" s="45"/>
    </row>
    <row r="1786" spans="14:15">
      <c r="N1786" s="20"/>
      <c r="O1786" s="4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BA1F-4012-4C86-BEA5-9F7B7375DDC8}">
  <dimension ref="A1:G25"/>
  <sheetViews>
    <sheetView workbookViewId="0">
      <selection activeCell="C25" sqref="C25:C26"/>
    </sheetView>
  </sheetViews>
  <sheetFormatPr baseColWidth="10" defaultRowHeight="15"/>
  <cols>
    <col min="1" max="1" width="3" style="155" bestFit="1" customWidth="1"/>
    <col min="2" max="2" width="22.85546875" style="155" bestFit="1" customWidth="1"/>
    <col min="3" max="3" width="14.42578125" style="155" bestFit="1" customWidth="1"/>
    <col min="4" max="4" width="33.5703125" style="155" bestFit="1" customWidth="1"/>
    <col min="5" max="5" width="14.42578125" style="155" bestFit="1" customWidth="1"/>
    <col min="6" max="6" width="35.42578125" style="155" bestFit="1" customWidth="1"/>
    <col min="7" max="7" width="14.42578125" style="155" bestFit="1" customWidth="1"/>
  </cols>
  <sheetData>
    <row r="1" spans="1:7">
      <c r="A1" s="144" t="s">
        <v>0</v>
      </c>
      <c r="B1" s="145" t="s">
        <v>85</v>
      </c>
      <c r="C1" s="146" t="s">
        <v>2</v>
      </c>
      <c r="D1" s="145" t="s">
        <v>1</v>
      </c>
      <c r="E1" s="146" t="s">
        <v>2</v>
      </c>
      <c r="F1" s="145" t="s">
        <v>7</v>
      </c>
      <c r="G1" s="147" t="s">
        <v>2</v>
      </c>
    </row>
    <row r="2" spans="1:7" ht="15.75">
      <c r="A2" s="156">
        <v>1</v>
      </c>
      <c r="B2" s="152" t="s">
        <v>49</v>
      </c>
      <c r="C2" s="148">
        <v>1950000</v>
      </c>
      <c r="D2" s="152" t="s">
        <v>113</v>
      </c>
      <c r="E2" s="148">
        <v>1600000</v>
      </c>
      <c r="F2" s="149" t="s">
        <v>8</v>
      </c>
      <c r="G2" s="148">
        <v>8800000</v>
      </c>
    </row>
    <row r="3" spans="1:7" ht="15.75">
      <c r="A3" s="156">
        <v>2</v>
      </c>
      <c r="B3" s="152" t="s">
        <v>49</v>
      </c>
      <c r="C3" s="148">
        <v>1950000</v>
      </c>
      <c r="D3" s="152" t="s">
        <v>140</v>
      </c>
      <c r="E3" s="148">
        <v>1600000</v>
      </c>
      <c r="F3" s="149" t="s">
        <v>14</v>
      </c>
      <c r="G3" s="148">
        <v>8500000</v>
      </c>
    </row>
    <row r="4" spans="1:7" ht="15.75">
      <c r="A4" s="156">
        <v>3</v>
      </c>
      <c r="B4" s="152" t="s">
        <v>49</v>
      </c>
      <c r="C4" s="148">
        <v>1950000</v>
      </c>
      <c r="D4" s="152" t="s">
        <v>54</v>
      </c>
      <c r="E4" s="148">
        <v>1800000</v>
      </c>
      <c r="F4" s="150" t="s">
        <v>17</v>
      </c>
      <c r="G4" s="151">
        <v>5500000</v>
      </c>
    </row>
    <row r="5" spans="1:7" ht="15.75">
      <c r="A5" s="156">
        <v>4</v>
      </c>
      <c r="B5" s="152" t="s">
        <v>49</v>
      </c>
      <c r="C5" s="148">
        <v>1950000</v>
      </c>
      <c r="D5" s="152" t="s">
        <v>135</v>
      </c>
      <c r="E5" s="148"/>
      <c r="F5" s="150" t="s">
        <v>18</v>
      </c>
      <c r="G5" s="151">
        <v>5500000</v>
      </c>
    </row>
    <row r="6" spans="1:7" ht="15.75">
      <c r="A6" s="156">
        <v>6</v>
      </c>
      <c r="B6" s="149" t="s">
        <v>86</v>
      </c>
      <c r="C6" s="148">
        <v>1790000</v>
      </c>
      <c r="D6" s="152" t="s">
        <v>135</v>
      </c>
      <c r="E6" s="148"/>
      <c r="F6" s="149" t="s">
        <v>81</v>
      </c>
      <c r="G6" s="148">
        <v>4600000</v>
      </c>
    </row>
    <row r="7" spans="1:7" ht="15.75">
      <c r="A7" s="156">
        <v>7</v>
      </c>
      <c r="B7" s="149" t="s">
        <v>87</v>
      </c>
      <c r="C7" s="148">
        <v>1890000</v>
      </c>
      <c r="D7" s="152" t="s">
        <v>149</v>
      </c>
      <c r="E7" s="148">
        <v>1600000</v>
      </c>
      <c r="F7" s="149" t="s">
        <v>41</v>
      </c>
      <c r="G7" s="148">
        <v>4200000</v>
      </c>
    </row>
    <row r="8" spans="1:7" ht="15.75">
      <c r="A8" s="156">
        <v>8</v>
      </c>
      <c r="B8" s="149" t="s">
        <v>87</v>
      </c>
      <c r="C8" s="148">
        <v>1890000</v>
      </c>
      <c r="D8" s="152" t="s">
        <v>106</v>
      </c>
      <c r="E8" s="148">
        <v>2000000</v>
      </c>
      <c r="F8" s="152" t="s">
        <v>39</v>
      </c>
      <c r="G8" s="151">
        <v>4200000</v>
      </c>
    </row>
    <row r="9" spans="1:7" ht="15.75">
      <c r="A9" s="156">
        <v>9</v>
      </c>
      <c r="B9" s="149" t="s">
        <v>87</v>
      </c>
      <c r="C9" s="148">
        <v>1890000</v>
      </c>
      <c r="D9" s="152" t="s">
        <v>136</v>
      </c>
      <c r="E9" s="148"/>
      <c r="F9" s="149" t="s">
        <v>15</v>
      </c>
      <c r="G9" s="148">
        <v>3600000</v>
      </c>
    </row>
    <row r="10" spans="1:7" ht="15.75">
      <c r="A10" s="156">
        <v>10</v>
      </c>
      <c r="B10" s="149" t="s">
        <v>87</v>
      </c>
      <c r="C10" s="148">
        <v>1890000</v>
      </c>
      <c r="D10" s="152" t="s">
        <v>137</v>
      </c>
      <c r="E10" s="148"/>
      <c r="F10" s="152" t="s">
        <v>67</v>
      </c>
      <c r="G10" s="148">
        <v>3500000</v>
      </c>
    </row>
    <row r="11" spans="1:7" ht="15.75">
      <c r="A11" s="156">
        <v>11</v>
      </c>
      <c r="B11" s="149" t="s">
        <v>87</v>
      </c>
      <c r="C11" s="148">
        <v>1890000</v>
      </c>
      <c r="D11" s="152" t="s">
        <v>138</v>
      </c>
      <c r="E11" s="148"/>
      <c r="F11" s="149" t="s">
        <v>88</v>
      </c>
      <c r="G11" s="148">
        <v>3000000</v>
      </c>
    </row>
    <row r="12" spans="1:7" ht="15.75">
      <c r="A12" s="156">
        <v>12</v>
      </c>
      <c r="B12" s="157" t="s">
        <v>91</v>
      </c>
      <c r="C12" s="148">
        <v>1950000</v>
      </c>
      <c r="D12" s="152" t="s">
        <v>150</v>
      </c>
      <c r="E12" s="148">
        <v>2000000</v>
      </c>
      <c r="F12" s="150" t="s">
        <v>27</v>
      </c>
      <c r="G12" s="151">
        <v>2400000</v>
      </c>
    </row>
    <row r="13" spans="1:7" ht="15.75">
      <c r="A13" s="156">
        <v>13</v>
      </c>
      <c r="B13" s="157" t="s">
        <v>91</v>
      </c>
      <c r="C13" s="148">
        <v>1950000</v>
      </c>
      <c r="D13" s="152" t="s">
        <v>46</v>
      </c>
      <c r="E13" s="148">
        <v>1900000</v>
      </c>
      <c r="F13" s="149" t="s">
        <v>107</v>
      </c>
      <c r="G13" s="148">
        <v>2400000</v>
      </c>
    </row>
    <row r="14" spans="1:7" ht="15.75">
      <c r="A14" s="156">
        <v>14</v>
      </c>
      <c r="B14" s="157" t="s">
        <v>92</v>
      </c>
      <c r="C14" s="148">
        <v>1950000</v>
      </c>
      <c r="D14" s="149" t="s">
        <v>78</v>
      </c>
      <c r="E14" s="148">
        <v>2000000</v>
      </c>
      <c r="F14" s="149" t="s">
        <v>124</v>
      </c>
      <c r="G14" s="148">
        <v>4500000</v>
      </c>
    </row>
    <row r="15" spans="1:7" ht="15.75">
      <c r="A15" s="156">
        <v>15</v>
      </c>
      <c r="B15" s="157" t="s">
        <v>151</v>
      </c>
      <c r="C15" s="153">
        <v>2250000</v>
      </c>
      <c r="D15" s="152" t="s">
        <v>77</v>
      </c>
      <c r="E15" s="148">
        <v>2000000</v>
      </c>
      <c r="F15" s="149" t="s">
        <v>110</v>
      </c>
      <c r="G15" s="148">
        <v>3600000</v>
      </c>
    </row>
    <row r="16" spans="1:7" ht="15.75">
      <c r="A16" s="156">
        <v>16</v>
      </c>
      <c r="B16" s="157" t="s">
        <v>151</v>
      </c>
      <c r="C16" s="153">
        <v>2250000</v>
      </c>
      <c r="D16" s="152" t="s">
        <v>55</v>
      </c>
      <c r="E16" s="148">
        <v>2000000</v>
      </c>
      <c r="F16" s="149" t="s">
        <v>108</v>
      </c>
      <c r="G16" s="148">
        <v>2800000</v>
      </c>
    </row>
    <row r="17" spans="1:7" ht="30">
      <c r="A17" s="156">
        <v>17</v>
      </c>
      <c r="B17" s="157" t="s">
        <v>89</v>
      </c>
      <c r="C17" s="148">
        <v>1970000</v>
      </c>
      <c r="D17" s="152" t="s">
        <v>76</v>
      </c>
      <c r="E17" s="148">
        <v>2300000</v>
      </c>
      <c r="F17" s="149" t="s">
        <v>111</v>
      </c>
      <c r="G17" s="148">
        <v>3600000</v>
      </c>
    </row>
    <row r="18" spans="1:7" ht="30">
      <c r="A18" s="156">
        <v>18</v>
      </c>
      <c r="B18" s="157" t="s">
        <v>96</v>
      </c>
      <c r="C18" s="153">
        <v>2340000</v>
      </c>
      <c r="D18" s="152" t="s">
        <v>79</v>
      </c>
      <c r="E18" s="148">
        <v>2200000</v>
      </c>
      <c r="F18" s="149" t="s">
        <v>112</v>
      </c>
      <c r="G18" s="148">
        <v>5500000</v>
      </c>
    </row>
    <row r="19" spans="1:7" ht="15.75">
      <c r="A19" s="156">
        <v>19</v>
      </c>
      <c r="B19" s="154" t="s">
        <v>155</v>
      </c>
      <c r="C19" s="154" t="s">
        <v>109</v>
      </c>
      <c r="D19" s="152" t="s">
        <v>139</v>
      </c>
      <c r="E19" s="148"/>
      <c r="F19" s="149" t="s">
        <v>127</v>
      </c>
      <c r="G19" s="148">
        <v>3600000</v>
      </c>
    </row>
    <row r="20" spans="1:7" ht="15.75">
      <c r="A20" s="156">
        <v>20</v>
      </c>
      <c r="B20" s="154" t="s">
        <v>154</v>
      </c>
      <c r="C20" s="154" t="s">
        <v>109</v>
      </c>
      <c r="D20" s="152" t="s">
        <v>146</v>
      </c>
      <c r="E20" s="148">
        <v>3000000</v>
      </c>
      <c r="F20" s="149" t="s">
        <v>131</v>
      </c>
      <c r="G20" s="148">
        <v>4900000</v>
      </c>
    </row>
    <row r="21" spans="1:7" ht="15.75">
      <c r="A21" s="156">
        <v>21</v>
      </c>
      <c r="B21" s="157" t="s">
        <v>153</v>
      </c>
      <c r="C21" s="153">
        <v>2300000</v>
      </c>
      <c r="D21" s="152" t="s">
        <v>145</v>
      </c>
      <c r="E21" s="148">
        <v>3200000</v>
      </c>
      <c r="F21" s="149" t="s">
        <v>132</v>
      </c>
      <c r="G21" s="148">
        <v>3900000</v>
      </c>
    </row>
    <row r="22" spans="1:7" ht="15.75">
      <c r="A22" s="156">
        <v>22</v>
      </c>
      <c r="B22" s="157" t="s">
        <v>101</v>
      </c>
      <c r="C22" s="153">
        <v>2640000</v>
      </c>
      <c r="D22" s="152" t="s">
        <v>144</v>
      </c>
      <c r="E22" s="148">
        <v>3200000</v>
      </c>
      <c r="F22" s="149" t="s">
        <v>133</v>
      </c>
      <c r="G22" s="148">
        <v>3500000</v>
      </c>
    </row>
    <row r="23" spans="1:7" ht="15.75">
      <c r="A23" s="156">
        <v>23</v>
      </c>
      <c r="B23" s="157" t="s">
        <v>152</v>
      </c>
      <c r="C23" s="153">
        <v>3100000</v>
      </c>
      <c r="D23" s="152" t="s">
        <v>144</v>
      </c>
      <c r="E23" s="148">
        <v>3300000</v>
      </c>
      <c r="F23" s="149"/>
      <c r="G23" s="148"/>
    </row>
    <row r="24" spans="1:7" ht="15.75">
      <c r="A24" s="156">
        <v>24</v>
      </c>
      <c r="B24" s="154" t="s">
        <v>90</v>
      </c>
      <c r="C24" s="154" t="s">
        <v>109</v>
      </c>
      <c r="D24" s="152" t="s">
        <v>147</v>
      </c>
      <c r="E24" s="148">
        <v>1400000</v>
      </c>
      <c r="F24" s="149"/>
      <c r="G24" s="148"/>
    </row>
    <row r="25" spans="1:7" ht="15.75">
      <c r="A25" s="156">
        <v>25</v>
      </c>
      <c r="B25" s="157" t="s">
        <v>92</v>
      </c>
      <c r="C25" s="148">
        <v>1950000</v>
      </c>
      <c r="D25" s="150" t="s">
        <v>148</v>
      </c>
      <c r="E25" s="148">
        <v>1400000</v>
      </c>
      <c r="F25" s="149"/>
      <c r="G25" s="148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3883-A982-4E34-8FB1-AF88EF3C787B}">
  <dimension ref="A1:J1759"/>
  <sheetViews>
    <sheetView workbookViewId="0">
      <selection activeCell="B3" sqref="B3"/>
    </sheetView>
  </sheetViews>
  <sheetFormatPr baseColWidth="10" defaultRowHeight="18.75"/>
  <cols>
    <col min="1" max="1" width="51.5703125" style="18" customWidth="1"/>
    <col min="2" max="2" width="26.28515625" style="9" customWidth="1"/>
    <col min="3" max="3" width="27.7109375" style="25" customWidth="1"/>
    <col min="4" max="4" width="18.5703125" style="43" customWidth="1"/>
    <col min="5" max="5" width="16" style="20" customWidth="1"/>
    <col min="6" max="6" width="11.42578125" style="20"/>
    <col min="7" max="7" width="12.85546875" style="20" customWidth="1"/>
    <col min="8" max="9" width="20.85546875" style="20" customWidth="1"/>
    <col min="10" max="10" width="22.140625" style="20" customWidth="1"/>
  </cols>
  <sheetData>
    <row r="1" spans="1:10">
      <c r="A1" s="16" t="s">
        <v>60</v>
      </c>
      <c r="B1" s="16" t="s">
        <v>62</v>
      </c>
      <c r="C1" s="19" t="s">
        <v>61</v>
      </c>
      <c r="D1" s="49" t="s">
        <v>59</v>
      </c>
      <c r="E1" s="49" t="s">
        <v>22</v>
      </c>
      <c r="F1" s="49" t="s">
        <v>23</v>
      </c>
      <c r="G1" s="49" t="s">
        <v>47</v>
      </c>
      <c r="H1" s="49" t="s">
        <v>57</v>
      </c>
      <c r="I1" s="49" t="s">
        <v>58</v>
      </c>
      <c r="J1" s="49" t="s">
        <v>63</v>
      </c>
    </row>
    <row r="2" spans="1:10" ht="22.5">
      <c r="A2" s="40" t="s">
        <v>38</v>
      </c>
      <c r="B2" s="15">
        <v>3800000</v>
      </c>
      <c r="C2" s="57" t="s">
        <v>28</v>
      </c>
      <c r="D2" s="52">
        <v>3400000</v>
      </c>
      <c r="E2" s="57"/>
      <c r="F2" s="52"/>
      <c r="G2" s="49"/>
      <c r="H2" s="49"/>
      <c r="I2" s="53"/>
      <c r="J2" s="53"/>
    </row>
    <row r="3" spans="1:10" ht="22.5">
      <c r="A3" s="40" t="s">
        <v>36</v>
      </c>
      <c r="B3" s="15">
        <v>3300000</v>
      </c>
      <c r="C3" s="57" t="s">
        <v>28</v>
      </c>
      <c r="D3" s="52">
        <v>3100000</v>
      </c>
      <c r="E3" s="57"/>
      <c r="F3" s="52"/>
      <c r="G3" s="49"/>
      <c r="H3" s="49"/>
      <c r="I3" s="53"/>
      <c r="J3" s="53"/>
    </row>
    <row r="4" spans="1:10" ht="22.5">
      <c r="A4" s="33" t="s">
        <v>32</v>
      </c>
      <c r="B4" s="15">
        <v>2500000</v>
      </c>
      <c r="C4" s="57" t="s">
        <v>28</v>
      </c>
      <c r="D4" s="52">
        <v>2700000</v>
      </c>
      <c r="E4" s="57"/>
      <c r="F4" s="52"/>
      <c r="G4" s="49"/>
      <c r="H4" s="49"/>
      <c r="I4" s="53"/>
      <c r="J4" s="53"/>
    </row>
    <row r="5" spans="1:10" ht="22.5">
      <c r="A5" s="40" t="s">
        <v>34</v>
      </c>
      <c r="B5" s="15">
        <v>1800000</v>
      </c>
      <c r="C5" s="57" t="s">
        <v>28</v>
      </c>
      <c r="D5" s="52">
        <v>2160000</v>
      </c>
      <c r="E5" s="57"/>
      <c r="F5" s="52"/>
      <c r="G5" s="49"/>
      <c r="H5" s="49"/>
      <c r="I5" s="53"/>
      <c r="J5" s="53"/>
    </row>
    <row r="6" spans="1:10" ht="22.5">
      <c r="A6" s="40"/>
      <c r="B6" s="15"/>
      <c r="C6" s="55"/>
      <c r="D6" s="52"/>
      <c r="E6" s="49"/>
      <c r="F6" s="49"/>
      <c r="G6" s="53"/>
      <c r="H6" s="53"/>
      <c r="I6" s="53"/>
      <c r="J6" s="53"/>
    </row>
    <row r="7" spans="1:10" ht="22.5">
      <c r="A7" s="40"/>
      <c r="B7" s="15"/>
      <c r="C7" s="55"/>
      <c r="D7" s="52"/>
      <c r="E7" s="49"/>
      <c r="F7" s="49"/>
      <c r="G7" s="53"/>
      <c r="H7" s="53"/>
      <c r="I7" s="53"/>
      <c r="J7" s="53"/>
    </row>
    <row r="8" spans="1:10" ht="22.5">
      <c r="A8" s="39"/>
      <c r="B8" s="32"/>
      <c r="C8" s="56"/>
      <c r="D8" s="52"/>
      <c r="E8" s="49"/>
      <c r="F8" s="49"/>
      <c r="G8" s="53"/>
      <c r="H8" s="53"/>
      <c r="I8" s="53"/>
      <c r="J8" s="53"/>
    </row>
    <row r="9" spans="1:10" ht="22.5">
      <c r="A9" s="40"/>
      <c r="B9" s="47"/>
      <c r="C9" s="55"/>
      <c r="D9" s="52"/>
      <c r="E9" s="49"/>
      <c r="F9" s="49"/>
      <c r="G9" s="53"/>
      <c r="H9" s="53"/>
      <c r="I9" s="53"/>
      <c r="J9" s="53"/>
    </row>
    <row r="10" spans="1:10" ht="22.5">
      <c r="A10" s="40"/>
      <c r="B10" s="15"/>
      <c r="C10" s="55"/>
      <c r="D10" s="52"/>
      <c r="E10" s="49"/>
      <c r="F10" s="49"/>
      <c r="G10" s="53"/>
      <c r="H10" s="53"/>
      <c r="I10" s="53"/>
      <c r="J10" s="53"/>
    </row>
    <row r="11" spans="1:10" ht="22.5">
      <c r="A11" s="33"/>
      <c r="B11" s="15"/>
      <c r="C11" s="30"/>
      <c r="D11" s="52"/>
      <c r="E11" s="49"/>
      <c r="F11" s="49"/>
      <c r="G11" s="53"/>
      <c r="H11" s="53"/>
      <c r="I11" s="53"/>
      <c r="J11" s="53"/>
    </row>
    <row r="12" spans="1:10" ht="22.5">
      <c r="A12" s="40"/>
      <c r="B12" s="15"/>
      <c r="C12" s="56"/>
      <c r="D12" s="52"/>
      <c r="E12" s="49"/>
      <c r="F12" s="49"/>
      <c r="G12" s="53"/>
      <c r="H12" s="53"/>
      <c r="I12" s="53"/>
      <c r="J12" s="53"/>
    </row>
    <row r="13" spans="1:10" ht="22.5">
      <c r="A13" s="40"/>
      <c r="B13" s="15"/>
      <c r="C13" s="30"/>
      <c r="D13" s="52"/>
      <c r="E13" s="49"/>
      <c r="F13" s="49"/>
      <c r="G13" s="53"/>
      <c r="H13" s="53"/>
      <c r="I13" s="53"/>
      <c r="J13" s="53"/>
    </row>
    <row r="14" spans="1:10" ht="22.5">
      <c r="A14" s="40"/>
      <c r="B14" s="15"/>
      <c r="C14" s="30"/>
      <c r="D14" s="52"/>
      <c r="E14" s="49"/>
      <c r="F14" s="49"/>
      <c r="G14" s="53"/>
      <c r="H14" s="53"/>
      <c r="I14" s="53"/>
      <c r="J14" s="53"/>
    </row>
    <row r="15" spans="1:10" ht="22.5">
      <c r="A15" s="33"/>
      <c r="B15" s="15"/>
      <c r="C15" s="55"/>
      <c r="D15" s="52"/>
      <c r="E15" s="49"/>
      <c r="F15" s="49"/>
      <c r="G15" s="53"/>
      <c r="H15" s="53"/>
      <c r="I15" s="53"/>
      <c r="J15" s="53"/>
    </row>
    <row r="16" spans="1:10" ht="22.5">
      <c r="A16" s="33"/>
      <c r="B16" s="15"/>
      <c r="C16" s="56"/>
      <c r="D16" s="52"/>
      <c r="E16" s="49"/>
      <c r="F16" s="49"/>
      <c r="G16" s="53"/>
      <c r="H16" s="53"/>
      <c r="I16" s="53"/>
      <c r="J16" s="53"/>
    </row>
    <row r="17" spans="1:10" ht="22.5">
      <c r="A17" s="40"/>
      <c r="B17" s="15"/>
      <c r="C17" s="57"/>
      <c r="D17" s="52"/>
      <c r="E17" s="49"/>
      <c r="F17" s="49"/>
      <c r="G17" s="53"/>
      <c r="H17" s="53"/>
      <c r="I17" s="53"/>
      <c r="J17" s="53"/>
    </row>
    <row r="18" spans="1:10" ht="22.5">
      <c r="A18" s="40"/>
      <c r="B18" s="15"/>
      <c r="C18" s="57"/>
      <c r="D18" s="52"/>
      <c r="E18" s="49"/>
      <c r="F18" s="49"/>
      <c r="G18" s="53"/>
      <c r="H18" s="53"/>
      <c r="I18" s="53"/>
      <c r="J18" s="53"/>
    </row>
    <row r="19" spans="1:10" ht="22.5">
      <c r="A19" s="33"/>
      <c r="B19" s="15"/>
      <c r="C19" s="57"/>
      <c r="D19" s="52"/>
      <c r="E19" s="49"/>
      <c r="F19" s="49"/>
      <c r="G19" s="53"/>
      <c r="H19" s="53"/>
      <c r="I19" s="53"/>
      <c r="J19" s="53"/>
    </row>
    <row r="20" spans="1:10" ht="22.5">
      <c r="A20" s="33"/>
      <c r="B20" s="15"/>
      <c r="C20" s="30"/>
      <c r="D20" s="52"/>
      <c r="E20" s="49"/>
      <c r="F20" s="49"/>
      <c r="G20" s="53"/>
      <c r="H20" s="53"/>
      <c r="I20" s="53"/>
      <c r="J20" s="53"/>
    </row>
    <row r="21" spans="1:10">
      <c r="A21" s="59"/>
      <c r="B21" s="22"/>
      <c r="C21" s="44"/>
      <c r="D21" s="52">
        <f>SUM(D2:D20)</f>
        <v>11360000</v>
      </c>
      <c r="E21" s="49"/>
      <c r="F21" s="49"/>
      <c r="G21" s="49"/>
      <c r="H21" s="49"/>
      <c r="I21" s="49"/>
      <c r="J21" s="49">
        <f>SUM(J20,J2:J20)</f>
        <v>0</v>
      </c>
    </row>
    <row r="22" spans="1:10" ht="15.75">
      <c r="A22" s="21"/>
      <c r="B22" s="21"/>
      <c r="C22" s="45"/>
      <c r="D22" s="48"/>
    </row>
    <row r="23" spans="1:10" ht="15.75">
      <c r="A23" s="21"/>
      <c r="B23" s="21"/>
      <c r="C23" s="45"/>
      <c r="D23" s="48"/>
    </row>
    <row r="24" spans="1:10" ht="15.75">
      <c r="A24" s="21"/>
      <c r="B24" s="21"/>
      <c r="C24" s="45"/>
      <c r="D24" s="48"/>
    </row>
    <row r="25" spans="1:10" ht="15.75">
      <c r="A25" s="21"/>
      <c r="B25" s="21"/>
      <c r="C25" s="45"/>
      <c r="D25" s="48"/>
    </row>
    <row r="26" spans="1:10">
      <c r="A26" s="24"/>
      <c r="B26" s="21"/>
      <c r="C26" s="45"/>
      <c r="D26" s="48"/>
    </row>
    <row r="27" spans="1:10">
      <c r="A27" s="9"/>
      <c r="B27" s="13"/>
      <c r="C27" s="45"/>
      <c r="D27" s="48"/>
    </row>
    <row r="28" spans="1:10">
      <c r="A28" s="24"/>
      <c r="B28" s="21"/>
      <c r="C28" s="45"/>
    </row>
    <row r="29" spans="1:10">
      <c r="A29" s="9"/>
      <c r="B29" s="13"/>
      <c r="C29" s="45"/>
      <c r="D29" s="48"/>
    </row>
    <row r="30" spans="1:10">
      <c r="A30" s="24"/>
      <c r="B30" s="21"/>
      <c r="C30" s="45"/>
    </row>
    <row r="31" spans="1:10">
      <c r="A31" s="24"/>
      <c r="B31" s="21"/>
      <c r="C31" s="45"/>
    </row>
    <row r="32" spans="1:10">
      <c r="A32" s="9"/>
      <c r="B32" s="13"/>
      <c r="C32" s="45"/>
    </row>
    <row r="33" spans="1:3">
      <c r="A33" s="9"/>
      <c r="B33" s="13"/>
      <c r="C33" s="46"/>
    </row>
    <row r="34" spans="1:3">
      <c r="A34" s="9"/>
      <c r="B34" s="13"/>
      <c r="C34" s="46"/>
    </row>
    <row r="35" spans="1:3">
      <c r="A35" s="9"/>
      <c r="B35" s="13"/>
      <c r="C35" s="46"/>
    </row>
    <row r="36" spans="1:3">
      <c r="A36" s="9"/>
      <c r="B36" s="13"/>
      <c r="C36" s="46"/>
    </row>
    <row r="37" spans="1:3">
      <c r="A37" s="9"/>
      <c r="B37" s="13"/>
      <c r="C37" s="46"/>
    </row>
    <row r="38" spans="1:3">
      <c r="A38" s="9"/>
      <c r="B38" s="13"/>
      <c r="C38" s="46"/>
    </row>
    <row r="39" spans="1:3">
      <c r="A39" s="9"/>
      <c r="B39" s="13"/>
      <c r="C39" s="46"/>
    </row>
    <row r="40" spans="1:3">
      <c r="A40" s="9"/>
      <c r="B40" s="13"/>
      <c r="C40" s="46"/>
    </row>
    <row r="41" spans="1:3">
      <c r="A41" s="9"/>
      <c r="B41" s="13"/>
      <c r="C41" s="46"/>
    </row>
    <row r="42" spans="1:3">
      <c r="A42" s="9"/>
      <c r="B42" s="13"/>
      <c r="C42" s="46"/>
    </row>
    <row r="43" spans="1:3">
      <c r="A43" s="9"/>
      <c r="B43" s="13"/>
      <c r="C43" s="46"/>
    </row>
    <row r="44" spans="1:3">
      <c r="A44" s="9"/>
      <c r="B44" s="13"/>
      <c r="C44" s="46"/>
    </row>
    <row r="45" spans="1:3">
      <c r="A45" s="9"/>
      <c r="B45" s="13"/>
      <c r="C45" s="46"/>
    </row>
    <row r="46" spans="1:3">
      <c r="A46" s="9"/>
      <c r="B46" s="13"/>
      <c r="C46" s="46"/>
    </row>
    <row r="47" spans="1:3">
      <c r="A47" s="9"/>
      <c r="B47" s="13"/>
      <c r="C47" s="46"/>
    </row>
    <row r="48" spans="1:3">
      <c r="A48" s="9"/>
      <c r="B48" s="13"/>
      <c r="C48" s="46"/>
    </row>
    <row r="49" spans="1:10">
      <c r="A49" s="9"/>
      <c r="B49" s="13"/>
      <c r="C49" s="46"/>
    </row>
    <row r="50" spans="1:10">
      <c r="A50" s="9"/>
      <c r="B50" s="13"/>
      <c r="C50" s="46"/>
    </row>
    <row r="51" spans="1:10">
      <c r="A51" s="9"/>
      <c r="B51" s="13"/>
      <c r="C51" s="46"/>
    </row>
    <row r="52" spans="1:10" ht="15.75">
      <c r="A52" s="13"/>
      <c r="B52"/>
      <c r="C52" s="46"/>
    </row>
    <row r="53" spans="1:10" ht="15.75">
      <c r="A53" s="13"/>
      <c r="B53" s="13"/>
      <c r="C53" s="43"/>
      <c r="D53" s="20"/>
    </row>
    <row r="54" spans="1:10">
      <c r="A54" s="9"/>
      <c r="B54" s="13"/>
      <c r="C54" s="43"/>
      <c r="D54" s="20"/>
      <c r="G54"/>
      <c r="H54"/>
      <c r="I54"/>
      <c r="J54"/>
    </row>
    <row r="55" spans="1:10">
      <c r="A55" s="9"/>
      <c r="B55" s="13"/>
      <c r="C55" s="45"/>
      <c r="G55"/>
      <c r="H55"/>
      <c r="I55"/>
      <c r="J55"/>
    </row>
    <row r="56" spans="1:10">
      <c r="A56" s="9"/>
      <c r="B56" s="13"/>
      <c r="C56" s="45"/>
    </row>
    <row r="57" spans="1:10">
      <c r="A57" s="9"/>
      <c r="B57" s="13"/>
      <c r="C57" s="45"/>
    </row>
    <row r="58" spans="1:10">
      <c r="A58" s="9"/>
      <c r="B58" s="13"/>
      <c r="C58" s="45"/>
    </row>
    <row r="59" spans="1:10">
      <c r="A59" s="9"/>
      <c r="B59" s="13"/>
      <c r="C59" s="45"/>
    </row>
    <row r="60" spans="1:10">
      <c r="A60" s="9"/>
      <c r="B60" s="13"/>
      <c r="C60" s="45"/>
    </row>
    <row r="61" spans="1:10">
      <c r="A61" s="9"/>
      <c r="B61" s="13"/>
      <c r="C61" s="45"/>
    </row>
    <row r="62" spans="1:10">
      <c r="A62" s="9"/>
      <c r="B62" s="13"/>
      <c r="C62" s="45"/>
    </row>
    <row r="63" spans="1:10">
      <c r="A63" s="9"/>
      <c r="B63" s="13"/>
      <c r="C63" s="45"/>
    </row>
    <row r="64" spans="1:10">
      <c r="A64" s="9"/>
      <c r="B64" s="13"/>
      <c r="C64" s="45"/>
    </row>
    <row r="65" spans="1:3">
      <c r="A65" s="9"/>
      <c r="B65" s="13"/>
      <c r="C65" s="45"/>
    </row>
    <row r="66" spans="1:3">
      <c r="A66" s="9"/>
      <c r="B66" s="13"/>
      <c r="C66" s="45"/>
    </row>
    <row r="67" spans="1:3">
      <c r="A67" s="9"/>
      <c r="B67" s="13"/>
      <c r="C67" s="45"/>
    </row>
    <row r="68" spans="1:3">
      <c r="A68" s="9"/>
      <c r="B68" s="13"/>
      <c r="C68" s="45"/>
    </row>
    <row r="69" spans="1:3">
      <c r="A69" s="9"/>
      <c r="B69" s="13"/>
      <c r="C69" s="45"/>
    </row>
    <row r="70" spans="1:3">
      <c r="A70" s="9"/>
      <c r="B70" s="13"/>
      <c r="C70" s="45"/>
    </row>
    <row r="71" spans="1:3">
      <c r="A71" s="9"/>
      <c r="B71" s="13"/>
      <c r="C71" s="45"/>
    </row>
    <row r="72" spans="1:3">
      <c r="A72" s="9"/>
      <c r="B72" s="13"/>
      <c r="C72" s="45"/>
    </row>
    <row r="73" spans="1:3">
      <c r="A73" s="9"/>
      <c r="B73" s="13"/>
      <c r="C73" s="45"/>
    </row>
    <row r="74" spans="1:3">
      <c r="A74" s="9"/>
      <c r="B74" s="13"/>
      <c r="C74" s="45"/>
    </row>
    <row r="75" spans="1:3">
      <c r="A75" s="9"/>
      <c r="B75" s="13"/>
      <c r="C75" s="45"/>
    </row>
    <row r="76" spans="1:3">
      <c r="A76" s="9"/>
      <c r="B76" s="13"/>
      <c r="C76" s="45"/>
    </row>
    <row r="77" spans="1:3">
      <c r="A77" s="9"/>
      <c r="B77" s="13"/>
      <c r="C77" s="45"/>
    </row>
    <row r="78" spans="1:3">
      <c r="A78" s="9"/>
      <c r="B78" s="13"/>
      <c r="C78" s="45"/>
    </row>
    <row r="79" spans="1:3">
      <c r="A79" s="9"/>
      <c r="B79" s="13"/>
      <c r="C79" s="45"/>
    </row>
    <row r="80" spans="1:3">
      <c r="A80" s="9"/>
      <c r="B80" s="13"/>
      <c r="C80" s="45"/>
    </row>
    <row r="81" spans="1:3">
      <c r="A81" s="9"/>
      <c r="B81" s="13"/>
      <c r="C81" s="45"/>
    </row>
    <row r="82" spans="1:3">
      <c r="A82" s="9"/>
      <c r="B82" s="13"/>
      <c r="C82" s="45"/>
    </row>
    <row r="83" spans="1:3">
      <c r="A83" s="9"/>
      <c r="B83" s="13"/>
      <c r="C83" s="45"/>
    </row>
    <row r="84" spans="1:3">
      <c r="A84" s="9"/>
      <c r="B84" s="13"/>
      <c r="C84" s="45"/>
    </row>
    <row r="85" spans="1:3">
      <c r="A85" s="9"/>
      <c r="B85" s="13"/>
      <c r="C85" s="45"/>
    </row>
    <row r="86" spans="1:3">
      <c r="A86" s="9"/>
      <c r="B86" s="13"/>
      <c r="C86" s="45"/>
    </row>
    <row r="87" spans="1:3">
      <c r="A87" s="9"/>
      <c r="B87" s="13"/>
      <c r="C87" s="45"/>
    </row>
    <row r="88" spans="1:3">
      <c r="A88" s="9"/>
      <c r="B88" s="13"/>
      <c r="C88" s="45"/>
    </row>
    <row r="89" spans="1:3">
      <c r="A89" s="9"/>
      <c r="B89" s="13"/>
      <c r="C89" s="45"/>
    </row>
    <row r="90" spans="1:3">
      <c r="A90" s="9"/>
      <c r="B90" s="13"/>
      <c r="C90" s="45"/>
    </row>
    <row r="91" spans="1:3">
      <c r="A91" s="9"/>
      <c r="B91" s="13"/>
      <c r="C91" s="45"/>
    </row>
    <row r="92" spans="1:3">
      <c r="A92" s="9"/>
      <c r="B92" s="13"/>
      <c r="C92" s="45"/>
    </row>
    <row r="93" spans="1:3">
      <c r="A93" s="9"/>
      <c r="B93" s="13"/>
      <c r="C93" s="45"/>
    </row>
    <row r="94" spans="1:3">
      <c r="A94" s="9"/>
      <c r="B94" s="13"/>
      <c r="C94" s="45"/>
    </row>
    <row r="95" spans="1:3">
      <c r="A95" s="9"/>
      <c r="B95" s="13"/>
      <c r="C95" s="45"/>
    </row>
    <row r="96" spans="1:3">
      <c r="A96" s="9"/>
      <c r="B96" s="13"/>
      <c r="C96" s="45"/>
    </row>
    <row r="97" spans="1:3">
      <c r="A97" s="9"/>
      <c r="B97" s="13"/>
      <c r="C97" s="45"/>
    </row>
    <row r="98" spans="1:3">
      <c r="A98" s="9"/>
      <c r="B98" s="13"/>
      <c r="C98" s="45"/>
    </row>
    <row r="99" spans="1:3">
      <c r="A99" s="9"/>
      <c r="B99" s="13"/>
      <c r="C99" s="45"/>
    </row>
    <row r="100" spans="1:3">
      <c r="A100" s="9"/>
      <c r="B100" s="13"/>
      <c r="C100" s="45"/>
    </row>
    <row r="101" spans="1:3">
      <c r="A101" s="9"/>
      <c r="B101" s="13"/>
      <c r="C101" s="45"/>
    </row>
    <row r="102" spans="1:3">
      <c r="A102" s="9"/>
      <c r="B102" s="13"/>
      <c r="C102" s="45"/>
    </row>
    <row r="103" spans="1:3">
      <c r="A103" s="9"/>
      <c r="B103" s="13"/>
      <c r="C103" s="45"/>
    </row>
    <row r="104" spans="1:3">
      <c r="A104" s="9"/>
      <c r="B104" s="13"/>
      <c r="C104" s="45"/>
    </row>
    <row r="105" spans="1:3">
      <c r="A105" s="9"/>
      <c r="B105" s="13"/>
      <c r="C105" s="45"/>
    </row>
    <row r="106" spans="1:3">
      <c r="A106" s="9"/>
      <c r="B106" s="13"/>
      <c r="C106" s="45"/>
    </row>
    <row r="107" spans="1:3">
      <c r="A107" s="9"/>
      <c r="B107" s="13"/>
      <c r="C107" s="45"/>
    </row>
    <row r="108" spans="1:3">
      <c r="A108" s="9"/>
      <c r="B108" s="13"/>
      <c r="C108" s="45"/>
    </row>
    <row r="109" spans="1:3">
      <c r="A109" s="9"/>
      <c r="B109" s="13"/>
      <c r="C109" s="45"/>
    </row>
    <row r="110" spans="1:3">
      <c r="A110" s="9"/>
      <c r="B110" s="13"/>
      <c r="C110" s="45"/>
    </row>
    <row r="111" spans="1:3">
      <c r="A111" s="9"/>
      <c r="B111" s="13"/>
      <c r="C111" s="45"/>
    </row>
    <row r="112" spans="1:3">
      <c r="A112" s="9"/>
      <c r="B112" s="13"/>
      <c r="C112" s="45"/>
    </row>
    <row r="113" spans="1:3">
      <c r="A113" s="9"/>
      <c r="B113" s="13"/>
      <c r="C113" s="45"/>
    </row>
    <row r="114" spans="1:3">
      <c r="A114" s="9"/>
      <c r="B114" s="13"/>
      <c r="C114" s="45"/>
    </row>
    <row r="115" spans="1:3">
      <c r="A115" s="9"/>
      <c r="B115" s="13"/>
      <c r="C115" s="45"/>
    </row>
    <row r="116" spans="1:3">
      <c r="A116" s="9"/>
      <c r="B116" s="13"/>
      <c r="C116" s="45"/>
    </row>
    <row r="117" spans="1:3">
      <c r="A117" s="9"/>
      <c r="B117" s="13"/>
      <c r="C117" s="45"/>
    </row>
    <row r="118" spans="1:3">
      <c r="A118" s="9"/>
      <c r="B118" s="13"/>
      <c r="C118" s="45"/>
    </row>
    <row r="119" spans="1:3">
      <c r="A119" s="9"/>
      <c r="B119" s="13"/>
      <c r="C119" s="45"/>
    </row>
    <row r="120" spans="1:3">
      <c r="A120" s="9"/>
      <c r="B120" s="13"/>
      <c r="C120" s="45"/>
    </row>
    <row r="121" spans="1:3">
      <c r="A121" s="9"/>
      <c r="B121" s="13"/>
      <c r="C121" s="45"/>
    </row>
    <row r="122" spans="1:3">
      <c r="A122" s="9"/>
      <c r="B122" s="13"/>
      <c r="C122" s="45"/>
    </row>
    <row r="123" spans="1:3">
      <c r="A123" s="9"/>
      <c r="B123" s="13"/>
      <c r="C123" s="45"/>
    </row>
    <row r="124" spans="1:3">
      <c r="A124" s="9"/>
      <c r="B124" s="13"/>
      <c r="C124" s="45"/>
    </row>
    <row r="125" spans="1:3">
      <c r="A125" s="9"/>
      <c r="B125" s="13"/>
      <c r="C125" s="45"/>
    </row>
    <row r="126" spans="1:3">
      <c r="A126" s="9"/>
      <c r="B126" s="13"/>
      <c r="C126" s="45"/>
    </row>
    <row r="127" spans="1:3">
      <c r="A127" s="9"/>
      <c r="B127" s="13"/>
      <c r="C127" s="45"/>
    </row>
    <row r="128" spans="1:3">
      <c r="A128" s="9"/>
      <c r="B128" s="13"/>
      <c r="C128" s="45"/>
    </row>
    <row r="129" spans="1:3">
      <c r="A129" s="9"/>
      <c r="B129" s="13"/>
      <c r="C129" s="45"/>
    </row>
    <row r="130" spans="1:3">
      <c r="A130" s="9"/>
      <c r="B130" s="13"/>
      <c r="C130" s="45"/>
    </row>
    <row r="131" spans="1:3">
      <c r="A131" s="9"/>
      <c r="B131" s="13"/>
      <c r="C131" s="45"/>
    </row>
    <row r="132" spans="1:3">
      <c r="A132" s="9"/>
      <c r="B132" s="13"/>
      <c r="C132" s="45"/>
    </row>
    <row r="133" spans="1:3">
      <c r="A133" s="9"/>
      <c r="B133" s="13"/>
      <c r="C133" s="45"/>
    </row>
    <row r="134" spans="1:3">
      <c r="A134" s="9"/>
      <c r="B134" s="13"/>
      <c r="C134" s="45"/>
    </row>
    <row r="135" spans="1:3">
      <c r="A135" s="9"/>
      <c r="B135" s="13"/>
      <c r="C135" s="45"/>
    </row>
    <row r="136" spans="1:3">
      <c r="A136" s="9"/>
      <c r="B136" s="13"/>
      <c r="C136" s="45"/>
    </row>
    <row r="137" spans="1:3">
      <c r="A137" s="9"/>
      <c r="B137" s="13"/>
      <c r="C137" s="45"/>
    </row>
    <row r="138" spans="1:3">
      <c r="A138" s="9"/>
      <c r="B138" s="13"/>
      <c r="C138" s="45"/>
    </row>
    <row r="139" spans="1:3">
      <c r="A139" s="9"/>
      <c r="B139" s="13"/>
      <c r="C139" s="45"/>
    </row>
    <row r="140" spans="1:3">
      <c r="A140" s="9"/>
      <c r="B140" s="13"/>
      <c r="C140" s="45"/>
    </row>
    <row r="141" spans="1:3">
      <c r="A141" s="9"/>
      <c r="B141" s="13"/>
      <c r="C141" s="45"/>
    </row>
    <row r="142" spans="1:3">
      <c r="A142" s="9"/>
      <c r="B142" s="13"/>
      <c r="C142" s="45"/>
    </row>
    <row r="143" spans="1:3">
      <c r="A143" s="9"/>
      <c r="B143" s="13"/>
      <c r="C143" s="45"/>
    </row>
    <row r="144" spans="1:3">
      <c r="A144" s="9"/>
      <c r="B144" s="13"/>
      <c r="C144" s="45"/>
    </row>
    <row r="145" spans="1:3">
      <c r="A145" s="9"/>
      <c r="B145" s="13"/>
      <c r="C145" s="45"/>
    </row>
    <row r="146" spans="1:3">
      <c r="A146" s="9"/>
      <c r="B146" s="13"/>
      <c r="C146" s="45"/>
    </row>
    <row r="147" spans="1:3">
      <c r="A147" s="9"/>
      <c r="B147" s="13"/>
      <c r="C147" s="45"/>
    </row>
    <row r="148" spans="1:3">
      <c r="A148" s="9"/>
      <c r="B148" s="13"/>
      <c r="C148" s="45"/>
    </row>
    <row r="149" spans="1:3">
      <c r="A149" s="9"/>
      <c r="B149" s="13"/>
      <c r="C149" s="45"/>
    </row>
    <row r="150" spans="1:3">
      <c r="A150" s="9"/>
      <c r="B150" s="13"/>
      <c r="C150" s="45"/>
    </row>
    <row r="151" spans="1:3">
      <c r="A151" s="9"/>
      <c r="B151" s="13"/>
      <c r="C151" s="45"/>
    </row>
    <row r="152" spans="1:3">
      <c r="A152" s="9"/>
      <c r="B152" s="13"/>
      <c r="C152" s="45"/>
    </row>
    <row r="153" spans="1:3">
      <c r="A153" s="9"/>
      <c r="B153" s="13"/>
      <c r="C153" s="45"/>
    </row>
    <row r="154" spans="1:3">
      <c r="A154" s="9"/>
      <c r="B154" s="13"/>
      <c r="C154" s="45"/>
    </row>
    <row r="155" spans="1:3">
      <c r="A155" s="9"/>
      <c r="B155" s="13"/>
      <c r="C155" s="45"/>
    </row>
    <row r="156" spans="1:3">
      <c r="A156" s="9"/>
      <c r="B156" s="13"/>
      <c r="C156" s="45"/>
    </row>
    <row r="157" spans="1:3">
      <c r="A157" s="9"/>
      <c r="B157" s="13"/>
      <c r="C157" s="45"/>
    </row>
    <row r="158" spans="1:3">
      <c r="A158" s="9"/>
      <c r="B158" s="13"/>
      <c r="C158" s="45"/>
    </row>
    <row r="159" spans="1:3">
      <c r="A159" s="9"/>
      <c r="B159" s="13"/>
      <c r="C159" s="45"/>
    </row>
    <row r="160" spans="1:3">
      <c r="A160" s="9"/>
      <c r="B160" s="13"/>
      <c r="C160" s="45"/>
    </row>
    <row r="161" spans="1:3">
      <c r="A161" s="9"/>
      <c r="B161" s="13"/>
      <c r="C161" s="45"/>
    </row>
    <row r="162" spans="1:3">
      <c r="A162" s="9"/>
      <c r="B162" s="13"/>
      <c r="C162" s="45"/>
    </row>
    <row r="163" spans="1:3">
      <c r="A163" s="9"/>
      <c r="B163" s="13"/>
      <c r="C163" s="45"/>
    </row>
    <row r="164" spans="1:3">
      <c r="A164" s="9"/>
      <c r="B164" s="13"/>
      <c r="C164" s="45"/>
    </row>
    <row r="165" spans="1:3">
      <c r="A165" s="9"/>
      <c r="B165" s="13"/>
      <c r="C165" s="45"/>
    </row>
    <row r="166" spans="1:3">
      <c r="A166" s="9"/>
      <c r="B166" s="13"/>
      <c r="C166" s="45"/>
    </row>
    <row r="167" spans="1:3">
      <c r="A167" s="9"/>
      <c r="B167" s="13"/>
      <c r="C167" s="45"/>
    </row>
    <row r="168" spans="1:3">
      <c r="A168" s="9"/>
      <c r="B168" s="13"/>
      <c r="C168" s="45"/>
    </row>
    <row r="169" spans="1:3">
      <c r="A169" s="9"/>
      <c r="B169" s="13"/>
      <c r="C169" s="45"/>
    </row>
    <row r="170" spans="1:3">
      <c r="A170" s="9"/>
      <c r="B170" s="13"/>
      <c r="C170" s="45"/>
    </row>
    <row r="171" spans="1:3">
      <c r="A171" s="9"/>
      <c r="B171" s="13"/>
      <c r="C171" s="45"/>
    </row>
    <row r="172" spans="1:3">
      <c r="A172" s="9"/>
      <c r="B172" s="13"/>
      <c r="C172" s="45"/>
    </row>
    <row r="173" spans="1:3">
      <c r="A173" s="9"/>
      <c r="B173" s="13"/>
      <c r="C173" s="45"/>
    </row>
    <row r="174" spans="1:3">
      <c r="A174" s="9"/>
      <c r="B174" s="13"/>
      <c r="C174" s="45"/>
    </row>
    <row r="175" spans="1:3">
      <c r="A175" s="9"/>
      <c r="B175" s="13"/>
      <c r="C175" s="45"/>
    </row>
    <row r="176" spans="1:3">
      <c r="A176" s="9"/>
      <c r="B176" s="13"/>
      <c r="C176" s="45"/>
    </row>
    <row r="177" spans="1:3">
      <c r="A177" s="9"/>
      <c r="B177" s="13"/>
      <c r="C177" s="45"/>
    </row>
    <row r="178" spans="1:3">
      <c r="A178" s="9"/>
      <c r="B178" s="13"/>
      <c r="C178" s="45"/>
    </row>
    <row r="179" spans="1:3">
      <c r="A179" s="9"/>
      <c r="B179" s="13"/>
      <c r="C179" s="45"/>
    </row>
    <row r="180" spans="1:3">
      <c r="A180" s="9"/>
      <c r="B180" s="13"/>
      <c r="C180" s="45"/>
    </row>
    <row r="181" spans="1:3">
      <c r="A181" s="9"/>
      <c r="B181" s="13"/>
      <c r="C181" s="45"/>
    </row>
    <row r="182" spans="1:3">
      <c r="A182" s="9"/>
      <c r="B182" s="13"/>
      <c r="C182" s="45"/>
    </row>
    <row r="183" spans="1:3">
      <c r="A183" s="9"/>
      <c r="B183" s="13"/>
      <c r="C183" s="45"/>
    </row>
    <row r="184" spans="1:3">
      <c r="A184" s="9"/>
      <c r="B184" s="13"/>
      <c r="C184" s="45"/>
    </row>
    <row r="185" spans="1:3">
      <c r="A185" s="9"/>
      <c r="B185" s="13"/>
      <c r="C185" s="45"/>
    </row>
    <row r="186" spans="1:3">
      <c r="A186" s="9"/>
      <c r="B186" s="13"/>
      <c r="C186" s="45"/>
    </row>
    <row r="187" spans="1:3">
      <c r="A187" s="9"/>
      <c r="B187" s="13"/>
      <c r="C187" s="45"/>
    </row>
    <row r="188" spans="1:3">
      <c r="A188" s="9"/>
      <c r="B188" s="13"/>
      <c r="C188" s="45"/>
    </row>
    <row r="189" spans="1:3">
      <c r="A189" s="9"/>
      <c r="B189" s="13"/>
      <c r="C189" s="45"/>
    </row>
    <row r="190" spans="1:3">
      <c r="A190" s="9"/>
      <c r="B190" s="13"/>
      <c r="C190" s="45"/>
    </row>
    <row r="191" spans="1:3">
      <c r="A191" s="9"/>
      <c r="B191" s="13"/>
      <c r="C191" s="45"/>
    </row>
    <row r="192" spans="1:3">
      <c r="A192" s="9"/>
      <c r="B192" s="13"/>
      <c r="C192" s="45"/>
    </row>
    <row r="193" spans="1:3">
      <c r="A193" s="9"/>
      <c r="B193" s="13"/>
      <c r="C193" s="45"/>
    </row>
    <row r="194" spans="1:3">
      <c r="A194" s="9"/>
      <c r="B194" s="13"/>
      <c r="C194" s="45"/>
    </row>
    <row r="195" spans="1:3">
      <c r="A195" s="9"/>
      <c r="B195" s="13"/>
      <c r="C195" s="45"/>
    </row>
    <row r="196" spans="1:3">
      <c r="A196" s="9"/>
      <c r="B196" s="13"/>
      <c r="C196" s="45"/>
    </row>
    <row r="197" spans="1:3">
      <c r="A197" s="9"/>
      <c r="B197" s="13"/>
      <c r="C197" s="45"/>
    </row>
    <row r="198" spans="1:3">
      <c r="A198" s="9"/>
      <c r="B198" s="13"/>
      <c r="C198" s="45"/>
    </row>
    <row r="199" spans="1:3">
      <c r="A199" s="9"/>
      <c r="B199" s="13"/>
      <c r="C199" s="45"/>
    </row>
    <row r="200" spans="1:3">
      <c r="A200" s="9"/>
      <c r="B200" s="13"/>
      <c r="C200" s="45"/>
    </row>
    <row r="201" spans="1:3">
      <c r="A201" s="9"/>
      <c r="B201" s="13"/>
      <c r="C201" s="45"/>
    </row>
    <row r="202" spans="1:3">
      <c r="A202" s="9"/>
      <c r="B202" s="13"/>
      <c r="C202" s="45"/>
    </row>
    <row r="203" spans="1:3">
      <c r="A203" s="9"/>
      <c r="B203" s="13"/>
      <c r="C203" s="45"/>
    </row>
    <row r="204" spans="1:3">
      <c r="A204" s="9"/>
      <c r="B204" s="13"/>
      <c r="C204" s="45"/>
    </row>
    <row r="205" spans="1:3">
      <c r="A205" s="9"/>
      <c r="B205" s="13"/>
      <c r="C205" s="45"/>
    </row>
    <row r="206" spans="1:3">
      <c r="A206" s="9"/>
      <c r="B206" s="13"/>
      <c r="C206" s="45"/>
    </row>
    <row r="207" spans="1:3">
      <c r="A207" s="9"/>
      <c r="B207" s="13"/>
      <c r="C207" s="45"/>
    </row>
    <row r="208" spans="1:3">
      <c r="A208" s="9"/>
      <c r="B208" s="13"/>
      <c r="C208" s="45"/>
    </row>
    <row r="209" spans="1:3">
      <c r="A209" s="9"/>
      <c r="B209" s="13"/>
      <c r="C209" s="45"/>
    </row>
    <row r="210" spans="1:3">
      <c r="A210" s="9"/>
      <c r="B210" s="13"/>
      <c r="C210" s="45"/>
    </row>
    <row r="211" spans="1:3">
      <c r="A211" s="9"/>
      <c r="B211" s="13"/>
      <c r="C211" s="45"/>
    </row>
    <row r="212" spans="1:3">
      <c r="A212" s="9"/>
      <c r="B212" s="13"/>
      <c r="C212" s="45"/>
    </row>
    <row r="213" spans="1:3">
      <c r="A213" s="9"/>
      <c r="B213" s="13"/>
      <c r="C213" s="45"/>
    </row>
    <row r="214" spans="1:3">
      <c r="A214" s="9"/>
      <c r="B214" s="13"/>
      <c r="C214" s="45"/>
    </row>
    <row r="215" spans="1:3">
      <c r="A215" s="9"/>
      <c r="B215" s="13"/>
      <c r="C215" s="45"/>
    </row>
    <row r="216" spans="1:3">
      <c r="A216" s="9"/>
      <c r="B216" s="13"/>
      <c r="C216" s="45"/>
    </row>
    <row r="217" spans="1:3">
      <c r="A217" s="9"/>
      <c r="B217" s="13"/>
      <c r="C217" s="45"/>
    </row>
    <row r="218" spans="1:3">
      <c r="A218" s="9"/>
      <c r="B218" s="13"/>
      <c r="C218" s="45"/>
    </row>
    <row r="219" spans="1:3">
      <c r="A219" s="9"/>
      <c r="B219" s="13"/>
      <c r="C219" s="45"/>
    </row>
    <row r="220" spans="1:3">
      <c r="A220" s="9"/>
      <c r="B220" s="13"/>
      <c r="C220" s="45"/>
    </row>
    <row r="221" spans="1:3">
      <c r="A221" s="9"/>
      <c r="B221" s="13"/>
      <c r="C221" s="45"/>
    </row>
    <row r="222" spans="1:3">
      <c r="A222" s="9"/>
      <c r="B222" s="13"/>
      <c r="C222" s="45"/>
    </row>
    <row r="223" spans="1:3">
      <c r="A223" s="9"/>
      <c r="B223" s="13"/>
      <c r="C223" s="45"/>
    </row>
    <row r="224" spans="1:3">
      <c r="A224" s="9"/>
      <c r="B224" s="13"/>
      <c r="C224" s="45"/>
    </row>
    <row r="225" spans="1:3">
      <c r="A225" s="9"/>
      <c r="B225" s="13"/>
      <c r="C225" s="45"/>
    </row>
    <row r="226" spans="1:3">
      <c r="A226" s="9"/>
      <c r="B226" s="13"/>
      <c r="C226" s="45"/>
    </row>
    <row r="227" spans="1:3">
      <c r="A227" s="9"/>
      <c r="B227" s="13"/>
      <c r="C227" s="45"/>
    </row>
    <row r="228" spans="1:3">
      <c r="A228" s="9"/>
      <c r="B228" s="13"/>
      <c r="C228" s="45"/>
    </row>
    <row r="229" spans="1:3">
      <c r="A229" s="9"/>
      <c r="B229" s="13"/>
      <c r="C229" s="45"/>
    </row>
    <row r="230" spans="1:3">
      <c r="A230" s="9"/>
      <c r="B230" s="13"/>
      <c r="C230" s="45"/>
    </row>
    <row r="231" spans="1:3">
      <c r="A231" s="9"/>
      <c r="B231" s="13"/>
      <c r="C231" s="45"/>
    </row>
    <row r="232" spans="1:3">
      <c r="A232" s="9"/>
      <c r="B232" s="13"/>
      <c r="C232" s="45"/>
    </row>
    <row r="233" spans="1:3">
      <c r="A233" s="9"/>
      <c r="B233" s="13"/>
      <c r="C233" s="45"/>
    </row>
    <row r="234" spans="1:3">
      <c r="A234" s="9"/>
      <c r="B234" s="13"/>
      <c r="C234" s="45"/>
    </row>
    <row r="235" spans="1:3">
      <c r="A235" s="9"/>
      <c r="B235" s="13"/>
      <c r="C235" s="45"/>
    </row>
    <row r="236" spans="1:3">
      <c r="A236" s="9"/>
      <c r="B236" s="13"/>
      <c r="C236" s="45"/>
    </row>
    <row r="237" spans="1:3">
      <c r="A237" s="9"/>
      <c r="B237" s="13"/>
      <c r="C237" s="45"/>
    </row>
    <row r="238" spans="1:3">
      <c r="A238" s="9"/>
      <c r="B238" s="13"/>
      <c r="C238" s="45"/>
    </row>
    <row r="239" spans="1:3">
      <c r="A239" s="9"/>
      <c r="B239" s="13"/>
      <c r="C239" s="45"/>
    </row>
    <row r="240" spans="1:3">
      <c r="A240" s="9"/>
      <c r="B240" s="13"/>
      <c r="C240" s="45"/>
    </row>
    <row r="241" spans="1:3">
      <c r="A241" s="9"/>
      <c r="B241" s="13"/>
      <c r="C241" s="45"/>
    </row>
    <row r="242" spans="1:3">
      <c r="A242" s="9"/>
      <c r="B242" s="13"/>
      <c r="C242" s="45"/>
    </row>
    <row r="243" spans="1:3">
      <c r="A243" s="9"/>
      <c r="B243" s="13"/>
      <c r="C243" s="45"/>
    </row>
    <row r="244" spans="1:3">
      <c r="A244" s="9"/>
      <c r="B244" s="13"/>
      <c r="C244" s="45"/>
    </row>
    <row r="245" spans="1:3">
      <c r="A245" s="9"/>
      <c r="B245" s="13"/>
      <c r="C245" s="45"/>
    </row>
    <row r="246" spans="1:3">
      <c r="A246" s="9"/>
      <c r="B246" s="13"/>
      <c r="C246" s="45"/>
    </row>
    <row r="247" spans="1:3">
      <c r="A247" s="9"/>
      <c r="B247" s="13"/>
      <c r="C247" s="45"/>
    </row>
    <row r="248" spans="1:3">
      <c r="A248" s="9"/>
      <c r="B248" s="13"/>
      <c r="C248" s="45"/>
    </row>
    <row r="249" spans="1:3">
      <c r="A249" s="9"/>
      <c r="B249" s="13"/>
      <c r="C249" s="45"/>
    </row>
    <row r="250" spans="1:3">
      <c r="A250" s="9"/>
      <c r="B250" s="13"/>
      <c r="C250" s="45"/>
    </row>
    <row r="251" spans="1:3">
      <c r="A251" s="9"/>
      <c r="B251" s="13"/>
      <c r="C251" s="45"/>
    </row>
    <row r="252" spans="1:3">
      <c r="A252" s="9"/>
      <c r="B252" s="13"/>
      <c r="C252" s="45"/>
    </row>
    <row r="253" spans="1:3">
      <c r="A253" s="9"/>
      <c r="B253" s="13"/>
      <c r="C253" s="45"/>
    </row>
    <row r="254" spans="1:3">
      <c r="A254" s="9"/>
      <c r="B254" s="13"/>
      <c r="C254" s="45"/>
    </row>
    <row r="255" spans="1:3">
      <c r="A255" s="9"/>
      <c r="B255" s="13"/>
      <c r="C255" s="45"/>
    </row>
    <row r="256" spans="1:3">
      <c r="A256" s="9"/>
      <c r="B256" s="13"/>
      <c r="C256" s="45"/>
    </row>
    <row r="257" spans="1:3">
      <c r="A257" s="9"/>
      <c r="B257" s="13"/>
      <c r="C257" s="45"/>
    </row>
    <row r="258" spans="1:3">
      <c r="A258" s="9"/>
      <c r="B258" s="13"/>
      <c r="C258" s="45"/>
    </row>
    <row r="259" spans="1:3">
      <c r="A259" s="9"/>
      <c r="B259" s="13"/>
      <c r="C259" s="45"/>
    </row>
    <row r="260" spans="1:3">
      <c r="A260" s="9"/>
      <c r="B260" s="13"/>
      <c r="C260" s="45"/>
    </row>
    <row r="261" spans="1:3">
      <c r="A261" s="9"/>
      <c r="B261" s="13"/>
      <c r="C261" s="45"/>
    </row>
    <row r="262" spans="1:3">
      <c r="A262" s="9"/>
      <c r="B262" s="13"/>
      <c r="C262" s="45"/>
    </row>
    <row r="263" spans="1:3">
      <c r="A263" s="9"/>
      <c r="B263" s="13"/>
      <c r="C263" s="45"/>
    </row>
    <row r="264" spans="1:3">
      <c r="A264" s="9"/>
      <c r="B264" s="13"/>
      <c r="C264" s="45"/>
    </row>
    <row r="265" spans="1:3">
      <c r="A265" s="9"/>
      <c r="B265" s="13"/>
      <c r="C265" s="45"/>
    </row>
    <row r="266" spans="1:3">
      <c r="A266" s="9"/>
      <c r="B266" s="13"/>
      <c r="C266" s="45"/>
    </row>
    <row r="267" spans="1:3">
      <c r="A267" s="9"/>
      <c r="B267" s="13"/>
      <c r="C267" s="45"/>
    </row>
    <row r="268" spans="1:3">
      <c r="A268" s="9"/>
      <c r="B268" s="13"/>
      <c r="C268" s="45"/>
    </row>
    <row r="269" spans="1:3">
      <c r="A269" s="9"/>
      <c r="B269" s="13"/>
      <c r="C269" s="45"/>
    </row>
    <row r="270" spans="1:3">
      <c r="A270" s="9"/>
      <c r="B270" s="13"/>
      <c r="C270" s="45"/>
    </row>
    <row r="271" spans="1:3">
      <c r="A271" s="9"/>
      <c r="B271" s="13"/>
      <c r="C271" s="45"/>
    </row>
    <row r="272" spans="1:3">
      <c r="A272" s="9"/>
      <c r="B272" s="13"/>
      <c r="C272" s="45"/>
    </row>
    <row r="273" spans="1:3">
      <c r="A273" s="9"/>
      <c r="B273" s="13"/>
      <c r="C273" s="45"/>
    </row>
    <row r="274" spans="1:3">
      <c r="A274" s="9"/>
      <c r="B274" s="13"/>
      <c r="C274" s="45"/>
    </row>
    <row r="275" spans="1:3">
      <c r="A275" s="9"/>
      <c r="B275" s="13"/>
      <c r="C275" s="45"/>
    </row>
    <row r="276" spans="1:3">
      <c r="A276" s="9"/>
      <c r="B276" s="13"/>
      <c r="C276" s="45"/>
    </row>
    <row r="277" spans="1:3">
      <c r="A277" s="9"/>
      <c r="B277" s="13"/>
      <c r="C277" s="45"/>
    </row>
    <row r="278" spans="1:3">
      <c r="A278" s="9"/>
      <c r="B278" s="13"/>
      <c r="C278" s="45"/>
    </row>
    <row r="279" spans="1:3">
      <c r="A279" s="9"/>
      <c r="B279" s="13"/>
      <c r="C279" s="45"/>
    </row>
    <row r="280" spans="1:3">
      <c r="A280" s="9"/>
      <c r="B280" s="13"/>
      <c r="C280" s="45"/>
    </row>
    <row r="281" spans="1:3">
      <c r="A281" s="9"/>
      <c r="B281" s="13"/>
      <c r="C281" s="45"/>
    </row>
    <row r="282" spans="1:3">
      <c r="A282" s="9"/>
      <c r="B282" s="13"/>
      <c r="C282" s="45"/>
    </row>
    <row r="283" spans="1:3">
      <c r="A283" s="9"/>
      <c r="B283" s="13"/>
      <c r="C283" s="45"/>
    </row>
    <row r="284" spans="1:3">
      <c r="A284" s="9"/>
      <c r="B284" s="13"/>
      <c r="C284" s="45"/>
    </row>
    <row r="285" spans="1:3">
      <c r="A285" s="9"/>
      <c r="B285" s="13"/>
      <c r="C285" s="45"/>
    </row>
    <row r="286" spans="1:3">
      <c r="A286" s="9"/>
      <c r="B286" s="13"/>
      <c r="C286" s="45"/>
    </row>
    <row r="287" spans="1:3">
      <c r="A287" s="9"/>
      <c r="B287" s="13"/>
      <c r="C287" s="45"/>
    </row>
    <row r="288" spans="1:3">
      <c r="A288" s="9"/>
      <c r="B288" s="13"/>
      <c r="C288" s="45"/>
    </row>
    <row r="289" spans="1:3">
      <c r="A289" s="9"/>
      <c r="B289" s="13"/>
      <c r="C289" s="45"/>
    </row>
    <row r="290" spans="1:3">
      <c r="A290" s="9"/>
      <c r="B290" s="13"/>
      <c r="C290" s="45"/>
    </row>
    <row r="291" spans="1:3">
      <c r="A291" s="9"/>
      <c r="B291" s="13"/>
      <c r="C291" s="45"/>
    </row>
    <row r="292" spans="1:3">
      <c r="A292" s="9"/>
      <c r="B292" s="13"/>
      <c r="C292" s="45"/>
    </row>
    <row r="293" spans="1:3">
      <c r="A293" s="9"/>
      <c r="B293" s="13"/>
      <c r="C293" s="45"/>
    </row>
    <row r="294" spans="1:3">
      <c r="A294" s="9"/>
      <c r="B294" s="13"/>
      <c r="C294" s="45"/>
    </row>
    <row r="295" spans="1:3">
      <c r="A295" s="9"/>
      <c r="B295" s="13"/>
      <c r="C295" s="45"/>
    </row>
    <row r="296" spans="1:3">
      <c r="A296" s="9"/>
      <c r="B296" s="13"/>
      <c r="C296" s="45"/>
    </row>
    <row r="297" spans="1:3">
      <c r="A297" s="9"/>
      <c r="B297" s="13"/>
      <c r="C297" s="45"/>
    </row>
    <row r="298" spans="1:3">
      <c r="A298" s="9"/>
      <c r="B298" s="13"/>
      <c r="C298" s="45"/>
    </row>
    <row r="299" spans="1:3">
      <c r="A299" s="9"/>
      <c r="B299" s="13"/>
      <c r="C299" s="45"/>
    </row>
    <row r="300" spans="1:3">
      <c r="A300" s="9"/>
      <c r="B300" s="13"/>
      <c r="C300" s="45"/>
    </row>
    <row r="301" spans="1:3">
      <c r="A301" s="9"/>
      <c r="B301" s="13"/>
      <c r="C301" s="45"/>
    </row>
    <row r="302" spans="1:3">
      <c r="A302" s="9"/>
      <c r="B302" s="13"/>
      <c r="C302" s="45"/>
    </row>
    <row r="303" spans="1:3">
      <c r="A303" s="9"/>
      <c r="B303" s="13"/>
      <c r="C303" s="45"/>
    </row>
    <row r="304" spans="1:3">
      <c r="A304" s="9"/>
      <c r="B304" s="13"/>
      <c r="C304" s="45"/>
    </row>
    <row r="305" spans="1:3">
      <c r="A305" s="9"/>
      <c r="B305" s="13"/>
      <c r="C305" s="45"/>
    </row>
    <row r="306" spans="1:3">
      <c r="A306" s="9"/>
      <c r="B306" s="13"/>
      <c r="C306" s="45"/>
    </row>
    <row r="307" spans="1:3">
      <c r="A307" s="9"/>
      <c r="B307" s="13"/>
      <c r="C307" s="45"/>
    </row>
    <row r="308" spans="1:3">
      <c r="A308" s="9"/>
      <c r="B308" s="13"/>
      <c r="C308" s="45"/>
    </row>
    <row r="309" spans="1:3">
      <c r="A309" s="9"/>
      <c r="B309" s="13"/>
      <c r="C309" s="45"/>
    </row>
    <row r="310" spans="1:3">
      <c r="A310" s="9"/>
      <c r="B310" s="13"/>
      <c r="C310" s="45"/>
    </row>
    <row r="311" spans="1:3">
      <c r="A311" s="9"/>
      <c r="B311" s="13"/>
      <c r="C311" s="45"/>
    </row>
    <row r="312" spans="1:3">
      <c r="A312" s="9"/>
      <c r="B312" s="13"/>
      <c r="C312" s="45"/>
    </row>
    <row r="313" spans="1:3">
      <c r="A313" s="9"/>
      <c r="B313" s="13"/>
      <c r="C313" s="45"/>
    </row>
    <row r="314" spans="1:3">
      <c r="A314" s="9"/>
      <c r="B314" s="13"/>
      <c r="C314" s="45"/>
    </row>
    <row r="315" spans="1:3">
      <c r="A315" s="9"/>
      <c r="B315" s="13"/>
      <c r="C315" s="45"/>
    </row>
    <row r="316" spans="1:3">
      <c r="A316" s="9"/>
      <c r="B316" s="13"/>
      <c r="C316" s="45"/>
    </row>
    <row r="317" spans="1:3">
      <c r="A317" s="9"/>
      <c r="B317" s="13"/>
      <c r="C317" s="45"/>
    </row>
    <row r="318" spans="1:3">
      <c r="A318" s="9"/>
      <c r="B318" s="13"/>
      <c r="C318" s="45"/>
    </row>
    <row r="319" spans="1:3">
      <c r="A319" s="9"/>
      <c r="B319" s="13"/>
      <c r="C319" s="45"/>
    </row>
    <row r="320" spans="1:3">
      <c r="A320" s="9"/>
      <c r="B320" s="13"/>
      <c r="C320" s="45"/>
    </row>
    <row r="321" spans="1:3">
      <c r="A321" s="9"/>
      <c r="B321" s="13"/>
      <c r="C321" s="45"/>
    </row>
    <row r="322" spans="1:3">
      <c r="A322" s="9"/>
      <c r="B322" s="13"/>
      <c r="C322" s="45"/>
    </row>
    <row r="323" spans="1:3">
      <c r="A323" s="9"/>
      <c r="B323" s="13"/>
      <c r="C323" s="45"/>
    </row>
    <row r="324" spans="1:3">
      <c r="A324" s="9"/>
      <c r="B324" s="13"/>
      <c r="C324" s="45"/>
    </row>
    <row r="325" spans="1:3">
      <c r="A325" s="9"/>
      <c r="B325" s="13"/>
      <c r="C325" s="45"/>
    </row>
    <row r="326" spans="1:3">
      <c r="A326" s="9"/>
      <c r="B326" s="13"/>
      <c r="C326" s="45"/>
    </row>
    <row r="327" spans="1:3">
      <c r="A327" s="9"/>
      <c r="B327" s="13"/>
      <c r="C327" s="45"/>
    </row>
    <row r="328" spans="1:3">
      <c r="A328" s="9"/>
      <c r="B328" s="13"/>
      <c r="C328" s="45"/>
    </row>
    <row r="329" spans="1:3">
      <c r="A329" s="9"/>
      <c r="B329" s="13"/>
      <c r="C329" s="45"/>
    </row>
    <row r="330" spans="1:3">
      <c r="A330" s="9"/>
      <c r="B330" s="13"/>
      <c r="C330" s="45"/>
    </row>
    <row r="331" spans="1:3">
      <c r="A331" s="9"/>
      <c r="B331" s="13"/>
      <c r="C331" s="45"/>
    </row>
    <row r="332" spans="1:3">
      <c r="A332" s="9"/>
      <c r="B332" s="13"/>
      <c r="C332" s="45"/>
    </row>
    <row r="333" spans="1:3">
      <c r="A333" s="9"/>
      <c r="B333" s="13"/>
      <c r="C333" s="45"/>
    </row>
    <row r="334" spans="1:3">
      <c r="A334" s="9"/>
      <c r="B334" s="13"/>
      <c r="C334" s="45"/>
    </row>
    <row r="335" spans="1:3">
      <c r="A335" s="9"/>
      <c r="B335" s="13"/>
      <c r="C335" s="45"/>
    </row>
    <row r="336" spans="1:3">
      <c r="A336" s="9"/>
      <c r="B336" s="13"/>
      <c r="C336" s="45"/>
    </row>
    <row r="337" spans="1:3">
      <c r="A337" s="9"/>
      <c r="B337" s="13"/>
      <c r="C337" s="45"/>
    </row>
    <row r="338" spans="1:3">
      <c r="A338" s="9"/>
      <c r="B338" s="13"/>
      <c r="C338" s="45"/>
    </row>
    <row r="339" spans="1:3">
      <c r="A339" s="9"/>
      <c r="B339" s="13"/>
      <c r="C339" s="45"/>
    </row>
    <row r="340" spans="1:3">
      <c r="A340" s="9"/>
      <c r="B340" s="13"/>
      <c r="C340" s="45"/>
    </row>
    <row r="341" spans="1:3">
      <c r="A341" s="9"/>
      <c r="B341" s="13"/>
      <c r="C341" s="45"/>
    </row>
    <row r="342" spans="1:3">
      <c r="A342" s="9"/>
      <c r="B342" s="13"/>
      <c r="C342" s="45"/>
    </row>
    <row r="343" spans="1:3">
      <c r="A343" s="9"/>
      <c r="B343" s="13"/>
      <c r="C343" s="45"/>
    </row>
    <row r="344" spans="1:3">
      <c r="A344" s="9"/>
      <c r="B344" s="13"/>
      <c r="C344" s="45"/>
    </row>
    <row r="345" spans="1:3">
      <c r="A345" s="9"/>
      <c r="B345" s="13"/>
      <c r="C345" s="45"/>
    </row>
    <row r="346" spans="1:3">
      <c r="A346" s="9"/>
      <c r="B346" s="13"/>
      <c r="C346" s="45"/>
    </row>
    <row r="347" spans="1:3">
      <c r="A347" s="9"/>
      <c r="B347" s="13"/>
      <c r="C347" s="45"/>
    </row>
    <row r="348" spans="1:3">
      <c r="A348" s="9"/>
      <c r="B348" s="13"/>
      <c r="C348" s="45"/>
    </row>
    <row r="349" spans="1:3">
      <c r="A349" s="9"/>
      <c r="B349" s="13"/>
      <c r="C349" s="45"/>
    </row>
    <row r="350" spans="1:3">
      <c r="A350" s="9"/>
      <c r="B350" s="13"/>
      <c r="C350" s="45"/>
    </row>
    <row r="351" spans="1:3">
      <c r="A351" s="9"/>
      <c r="B351" s="13"/>
      <c r="C351" s="45"/>
    </row>
    <row r="352" spans="1:3">
      <c r="A352" s="9"/>
      <c r="B352" s="13"/>
      <c r="C352" s="45"/>
    </row>
    <row r="353" spans="1:3">
      <c r="A353" s="9"/>
      <c r="B353" s="13"/>
      <c r="C353" s="45"/>
    </row>
    <row r="354" spans="1:3">
      <c r="A354" s="9"/>
      <c r="B354" s="13"/>
      <c r="C354" s="45"/>
    </row>
    <row r="355" spans="1:3">
      <c r="A355" s="9"/>
      <c r="B355" s="13"/>
      <c r="C355" s="45"/>
    </row>
    <row r="356" spans="1:3">
      <c r="A356" s="9"/>
      <c r="B356" s="13"/>
      <c r="C356" s="45"/>
    </row>
    <row r="357" spans="1:3">
      <c r="A357" s="9"/>
      <c r="B357" s="13"/>
      <c r="C357" s="45"/>
    </row>
    <row r="358" spans="1:3">
      <c r="A358" s="9"/>
      <c r="B358" s="13"/>
      <c r="C358" s="45"/>
    </row>
    <row r="359" spans="1:3">
      <c r="A359" s="9"/>
      <c r="B359" s="13"/>
      <c r="C359" s="45"/>
    </row>
    <row r="360" spans="1:3">
      <c r="A360" s="9"/>
      <c r="B360" s="13"/>
      <c r="C360" s="45"/>
    </row>
    <row r="361" spans="1:3">
      <c r="A361" s="9"/>
      <c r="B361" s="13"/>
      <c r="C361" s="45"/>
    </row>
    <row r="362" spans="1:3">
      <c r="A362" s="9"/>
      <c r="B362" s="13"/>
      <c r="C362" s="45"/>
    </row>
    <row r="363" spans="1:3">
      <c r="A363" s="9"/>
      <c r="B363" s="13"/>
      <c r="C363" s="45"/>
    </row>
    <row r="364" spans="1:3">
      <c r="A364" s="9"/>
      <c r="B364" s="13"/>
      <c r="C364" s="45"/>
    </row>
    <row r="365" spans="1:3">
      <c r="A365" s="9"/>
      <c r="B365" s="13"/>
      <c r="C365" s="45"/>
    </row>
    <row r="366" spans="1:3">
      <c r="A366" s="9"/>
      <c r="B366" s="13"/>
      <c r="C366" s="45"/>
    </row>
    <row r="367" spans="1:3">
      <c r="A367" s="9"/>
      <c r="B367" s="13"/>
      <c r="C367" s="45"/>
    </row>
    <row r="368" spans="1:3">
      <c r="A368" s="9"/>
      <c r="B368" s="13"/>
      <c r="C368" s="45"/>
    </row>
    <row r="369" spans="1:3">
      <c r="A369" s="9"/>
      <c r="B369" s="13"/>
      <c r="C369" s="45"/>
    </row>
    <row r="370" spans="1:3">
      <c r="A370" s="9"/>
      <c r="B370" s="13"/>
      <c r="C370" s="45"/>
    </row>
    <row r="371" spans="1:3">
      <c r="A371" s="9"/>
      <c r="B371" s="13"/>
      <c r="C371" s="45"/>
    </row>
    <row r="372" spans="1:3">
      <c r="A372" s="9"/>
      <c r="B372" s="13"/>
      <c r="C372" s="45"/>
    </row>
    <row r="373" spans="1:3">
      <c r="A373" s="9"/>
      <c r="B373" s="13"/>
      <c r="C373" s="45"/>
    </row>
    <row r="374" spans="1:3">
      <c r="A374" s="9"/>
      <c r="B374" s="13"/>
      <c r="C374" s="45"/>
    </row>
    <row r="375" spans="1:3">
      <c r="A375" s="9"/>
      <c r="B375" s="13"/>
      <c r="C375" s="45"/>
    </row>
    <row r="376" spans="1:3">
      <c r="A376" s="9"/>
      <c r="B376" s="13"/>
      <c r="C376" s="45"/>
    </row>
    <row r="377" spans="1:3">
      <c r="A377" s="9"/>
      <c r="B377" s="13"/>
      <c r="C377" s="45"/>
    </row>
    <row r="378" spans="1:3">
      <c r="A378" s="9"/>
      <c r="B378" s="13"/>
      <c r="C378" s="45"/>
    </row>
    <row r="379" spans="1:3">
      <c r="A379" s="9"/>
      <c r="B379" s="13"/>
      <c r="C379" s="45"/>
    </row>
    <row r="380" spans="1:3">
      <c r="A380" s="9"/>
      <c r="B380" s="13"/>
      <c r="C380" s="45"/>
    </row>
    <row r="381" spans="1:3">
      <c r="A381" s="9"/>
      <c r="B381" s="13"/>
      <c r="C381" s="45"/>
    </row>
    <row r="382" spans="1:3">
      <c r="A382" s="9"/>
      <c r="B382" s="13"/>
      <c r="C382" s="45"/>
    </row>
    <row r="383" spans="1:3">
      <c r="A383" s="9"/>
      <c r="B383" s="13"/>
      <c r="C383" s="45"/>
    </row>
    <row r="384" spans="1:3">
      <c r="A384" s="9"/>
      <c r="B384" s="13"/>
      <c r="C384" s="45"/>
    </row>
    <row r="385" spans="1:3">
      <c r="A385" s="9"/>
      <c r="B385" s="13"/>
      <c r="C385" s="45"/>
    </row>
    <row r="386" spans="1:3">
      <c r="A386" s="9"/>
      <c r="B386" s="13"/>
      <c r="C386" s="45"/>
    </row>
    <row r="387" spans="1:3">
      <c r="A387" s="9"/>
      <c r="B387" s="13"/>
      <c r="C387" s="45"/>
    </row>
    <row r="388" spans="1:3">
      <c r="A388" s="9"/>
      <c r="B388" s="13"/>
      <c r="C388" s="45"/>
    </row>
    <row r="389" spans="1:3">
      <c r="A389" s="9"/>
      <c r="B389" s="13"/>
      <c r="C389" s="45"/>
    </row>
    <row r="390" spans="1:3">
      <c r="A390" s="9"/>
      <c r="B390" s="13"/>
      <c r="C390" s="45"/>
    </row>
    <row r="391" spans="1:3">
      <c r="A391" s="9"/>
      <c r="B391" s="13"/>
      <c r="C391" s="45"/>
    </row>
    <row r="392" spans="1:3">
      <c r="A392" s="9"/>
      <c r="B392" s="13"/>
      <c r="C392" s="45"/>
    </row>
    <row r="393" spans="1:3">
      <c r="A393" s="9"/>
      <c r="B393" s="13"/>
      <c r="C393" s="45"/>
    </row>
    <row r="394" spans="1:3">
      <c r="A394" s="9"/>
      <c r="B394" s="13"/>
      <c r="C394" s="45"/>
    </row>
    <row r="395" spans="1:3">
      <c r="A395" s="9"/>
      <c r="B395" s="13"/>
      <c r="C395" s="45"/>
    </row>
    <row r="396" spans="1:3">
      <c r="A396" s="9"/>
      <c r="B396" s="13"/>
      <c r="C396" s="45"/>
    </row>
    <row r="397" spans="1:3">
      <c r="A397" s="9"/>
      <c r="B397" s="13"/>
      <c r="C397" s="45"/>
    </row>
    <row r="398" spans="1:3">
      <c r="A398" s="9"/>
      <c r="B398" s="13"/>
      <c r="C398" s="45"/>
    </row>
    <row r="399" spans="1:3">
      <c r="A399" s="9"/>
      <c r="B399" s="13"/>
      <c r="C399" s="45"/>
    </row>
    <row r="400" spans="1:3">
      <c r="A400" s="9"/>
      <c r="B400" s="13"/>
      <c r="C400" s="45"/>
    </row>
    <row r="401" spans="1:3">
      <c r="A401" s="9"/>
      <c r="B401" s="13"/>
      <c r="C401" s="45"/>
    </row>
    <row r="402" spans="1:3">
      <c r="A402" s="9"/>
      <c r="B402" s="13"/>
      <c r="C402" s="45"/>
    </row>
    <row r="403" spans="1:3">
      <c r="A403" s="9"/>
      <c r="B403" s="13"/>
      <c r="C403" s="45"/>
    </row>
    <row r="404" spans="1:3">
      <c r="A404" s="9"/>
      <c r="B404" s="13"/>
      <c r="C404" s="45"/>
    </row>
    <row r="405" spans="1:3">
      <c r="A405" s="9"/>
      <c r="B405" s="13"/>
      <c r="C405" s="45"/>
    </row>
    <row r="406" spans="1:3">
      <c r="A406" s="9"/>
      <c r="B406" s="13"/>
      <c r="C406" s="45"/>
    </row>
    <row r="407" spans="1:3">
      <c r="A407" s="9"/>
      <c r="B407" s="13"/>
      <c r="C407" s="45"/>
    </row>
    <row r="408" spans="1:3">
      <c r="A408" s="9"/>
      <c r="B408" s="13"/>
      <c r="C408" s="45"/>
    </row>
    <row r="409" spans="1:3">
      <c r="A409" s="9"/>
      <c r="B409" s="13"/>
      <c r="C409" s="45"/>
    </row>
    <row r="410" spans="1:3">
      <c r="A410" s="9"/>
      <c r="B410" s="13"/>
      <c r="C410" s="45"/>
    </row>
    <row r="411" spans="1:3">
      <c r="A411" s="9"/>
      <c r="B411" s="13"/>
      <c r="C411" s="45"/>
    </row>
    <row r="412" spans="1:3">
      <c r="A412" s="9"/>
      <c r="B412" s="13"/>
      <c r="C412" s="45"/>
    </row>
    <row r="413" spans="1:3">
      <c r="A413" s="9"/>
      <c r="B413" s="13"/>
      <c r="C413" s="45"/>
    </row>
    <row r="414" spans="1:3">
      <c r="A414" s="9"/>
      <c r="B414" s="13"/>
      <c r="C414" s="45"/>
    </row>
    <row r="415" spans="1:3">
      <c r="A415" s="9"/>
      <c r="B415" s="13"/>
      <c r="C415" s="45"/>
    </row>
    <row r="416" spans="1:3">
      <c r="A416" s="9"/>
      <c r="B416" s="13"/>
      <c r="C416" s="45"/>
    </row>
    <row r="417" spans="1:3">
      <c r="A417" s="9"/>
      <c r="B417" s="13"/>
      <c r="C417" s="45"/>
    </row>
    <row r="418" spans="1:3">
      <c r="A418" s="9"/>
      <c r="B418" s="13"/>
      <c r="C418" s="45"/>
    </row>
    <row r="419" spans="1:3">
      <c r="A419" s="9"/>
      <c r="B419" s="13"/>
      <c r="C419" s="45"/>
    </row>
    <row r="420" spans="1:3">
      <c r="A420" s="9"/>
      <c r="B420" s="13"/>
      <c r="C420" s="45"/>
    </row>
    <row r="421" spans="1:3">
      <c r="A421" s="9"/>
      <c r="B421" s="13"/>
      <c r="C421" s="45"/>
    </row>
    <row r="422" spans="1:3">
      <c r="A422" s="9"/>
      <c r="B422" s="13"/>
      <c r="C422" s="45"/>
    </row>
    <row r="423" spans="1:3">
      <c r="A423" s="9"/>
      <c r="B423" s="13"/>
      <c r="C423" s="45"/>
    </row>
    <row r="424" spans="1:3">
      <c r="A424" s="9"/>
      <c r="B424" s="13"/>
      <c r="C424" s="45"/>
    </row>
    <row r="425" spans="1:3">
      <c r="A425" s="9"/>
      <c r="B425" s="13"/>
      <c r="C425" s="45"/>
    </row>
    <row r="426" spans="1:3">
      <c r="A426" s="9"/>
      <c r="B426" s="13"/>
      <c r="C426" s="45"/>
    </row>
    <row r="427" spans="1:3">
      <c r="A427" s="9"/>
      <c r="B427" s="13"/>
      <c r="C427" s="45"/>
    </row>
    <row r="428" spans="1:3">
      <c r="A428" s="9"/>
      <c r="B428" s="13"/>
      <c r="C428" s="45"/>
    </row>
    <row r="429" spans="1:3">
      <c r="A429" s="9"/>
      <c r="B429" s="13"/>
      <c r="C429" s="45"/>
    </row>
    <row r="430" spans="1:3">
      <c r="A430" s="9"/>
      <c r="B430" s="13"/>
      <c r="C430" s="45"/>
    </row>
    <row r="431" spans="1:3">
      <c r="A431" s="9"/>
      <c r="B431" s="13"/>
      <c r="C431" s="45"/>
    </row>
    <row r="432" spans="1:3">
      <c r="A432" s="9"/>
      <c r="B432" s="13"/>
      <c r="C432" s="45"/>
    </row>
    <row r="433" spans="1:3">
      <c r="A433" s="9"/>
      <c r="B433" s="13"/>
      <c r="C433" s="45"/>
    </row>
    <row r="434" spans="1:3">
      <c r="A434" s="9"/>
      <c r="B434" s="13"/>
      <c r="C434" s="45"/>
    </row>
    <row r="435" spans="1:3">
      <c r="A435" s="9"/>
      <c r="B435" s="13"/>
      <c r="C435" s="45"/>
    </row>
    <row r="436" spans="1:3">
      <c r="A436" s="9"/>
      <c r="B436" s="13"/>
      <c r="C436" s="45"/>
    </row>
    <row r="437" spans="1:3">
      <c r="A437" s="9"/>
      <c r="B437" s="13"/>
      <c r="C437" s="45"/>
    </row>
    <row r="438" spans="1:3">
      <c r="A438" s="9"/>
      <c r="B438" s="13"/>
      <c r="C438" s="45"/>
    </row>
    <row r="439" spans="1:3">
      <c r="A439" s="9"/>
      <c r="B439" s="13"/>
      <c r="C439" s="45"/>
    </row>
    <row r="440" spans="1:3">
      <c r="A440" s="9"/>
      <c r="B440" s="13"/>
      <c r="C440" s="45"/>
    </row>
    <row r="441" spans="1:3">
      <c r="A441" s="9"/>
      <c r="B441" s="13"/>
      <c r="C441" s="45"/>
    </row>
    <row r="442" spans="1:3">
      <c r="A442" s="9"/>
      <c r="B442" s="13"/>
      <c r="C442" s="45"/>
    </row>
    <row r="443" spans="1:3">
      <c r="A443" s="9"/>
      <c r="B443" s="13"/>
      <c r="C443" s="45"/>
    </row>
    <row r="444" spans="1:3">
      <c r="A444" s="9"/>
      <c r="B444" s="13"/>
      <c r="C444" s="45"/>
    </row>
    <row r="445" spans="1:3">
      <c r="A445" s="9"/>
      <c r="B445" s="13"/>
      <c r="C445" s="45"/>
    </row>
    <row r="446" spans="1:3">
      <c r="A446" s="9"/>
      <c r="B446" s="13"/>
      <c r="C446" s="45"/>
    </row>
    <row r="447" spans="1:3">
      <c r="A447" s="9"/>
      <c r="B447" s="13"/>
      <c r="C447" s="45"/>
    </row>
    <row r="448" spans="1:3">
      <c r="A448" s="9"/>
      <c r="B448" s="13"/>
      <c r="C448" s="45"/>
    </row>
    <row r="449" spans="1:3">
      <c r="A449" s="9"/>
      <c r="B449" s="13"/>
      <c r="C449" s="45"/>
    </row>
    <row r="450" spans="1:3">
      <c r="A450" s="9"/>
      <c r="B450" s="13"/>
      <c r="C450" s="45"/>
    </row>
    <row r="451" spans="1:3">
      <c r="A451" s="9"/>
      <c r="B451" s="13"/>
      <c r="C451" s="45"/>
    </row>
    <row r="452" spans="1:3">
      <c r="A452" s="9"/>
      <c r="B452" s="13"/>
      <c r="C452" s="45"/>
    </row>
    <row r="453" spans="1:3">
      <c r="A453" s="9"/>
      <c r="B453" s="13"/>
      <c r="C453" s="45"/>
    </row>
    <row r="454" spans="1:3">
      <c r="A454" s="9"/>
      <c r="B454" s="13"/>
      <c r="C454" s="45"/>
    </row>
    <row r="455" spans="1:3">
      <c r="A455" s="9"/>
      <c r="B455" s="13"/>
      <c r="C455" s="45"/>
    </row>
    <row r="456" spans="1:3">
      <c r="A456" s="9"/>
      <c r="B456" s="13"/>
      <c r="C456" s="45"/>
    </row>
    <row r="457" spans="1:3">
      <c r="A457" s="9"/>
      <c r="B457" s="13"/>
      <c r="C457" s="45"/>
    </row>
    <row r="458" spans="1:3">
      <c r="A458" s="9"/>
      <c r="B458" s="13"/>
      <c r="C458" s="45"/>
    </row>
    <row r="459" spans="1:3">
      <c r="A459" s="9"/>
      <c r="B459" s="13"/>
      <c r="C459" s="45"/>
    </row>
    <row r="460" spans="1:3">
      <c r="A460" s="9"/>
      <c r="B460" s="13"/>
      <c r="C460" s="45"/>
    </row>
    <row r="461" spans="1:3">
      <c r="A461" s="9"/>
      <c r="B461" s="13"/>
      <c r="C461" s="45"/>
    </row>
    <row r="462" spans="1:3">
      <c r="A462" s="9"/>
      <c r="B462" s="13"/>
      <c r="C462" s="45"/>
    </row>
    <row r="463" spans="1:3">
      <c r="A463" s="9"/>
      <c r="B463" s="13"/>
      <c r="C463" s="45"/>
    </row>
    <row r="464" spans="1:3">
      <c r="A464" s="9"/>
      <c r="B464" s="13"/>
      <c r="C464" s="45"/>
    </row>
    <row r="465" spans="1:3">
      <c r="A465" s="9"/>
      <c r="B465" s="13"/>
      <c r="C465" s="45"/>
    </row>
    <row r="466" spans="1:3">
      <c r="A466" s="9"/>
      <c r="B466" s="13"/>
      <c r="C466" s="45"/>
    </row>
    <row r="467" spans="1:3">
      <c r="A467" s="9"/>
      <c r="B467" s="13"/>
      <c r="C467" s="45"/>
    </row>
    <row r="468" spans="1:3">
      <c r="A468" s="9"/>
      <c r="B468" s="13"/>
      <c r="C468" s="45"/>
    </row>
    <row r="469" spans="1:3">
      <c r="A469" s="9"/>
      <c r="B469" s="13"/>
      <c r="C469" s="45"/>
    </row>
    <row r="470" spans="1:3">
      <c r="A470" s="9"/>
      <c r="B470" s="13"/>
      <c r="C470" s="45"/>
    </row>
    <row r="471" spans="1:3">
      <c r="A471" s="9"/>
      <c r="B471" s="13"/>
      <c r="C471" s="45"/>
    </row>
    <row r="472" spans="1:3">
      <c r="A472" s="9"/>
      <c r="B472" s="13"/>
      <c r="C472" s="45"/>
    </row>
    <row r="473" spans="1:3">
      <c r="A473" s="9"/>
      <c r="B473" s="13"/>
      <c r="C473" s="45"/>
    </row>
    <row r="474" spans="1:3">
      <c r="A474" s="9"/>
      <c r="B474" s="13"/>
      <c r="C474" s="45"/>
    </row>
    <row r="475" spans="1:3">
      <c r="A475" s="9"/>
      <c r="B475" s="13"/>
      <c r="C475" s="45"/>
    </row>
    <row r="476" spans="1:3">
      <c r="A476" s="9"/>
      <c r="B476" s="13"/>
      <c r="C476" s="45"/>
    </row>
    <row r="477" spans="1:3">
      <c r="A477" s="9"/>
      <c r="B477" s="13"/>
      <c r="C477" s="45"/>
    </row>
    <row r="478" spans="1:3">
      <c r="A478" s="9"/>
      <c r="B478" s="13"/>
      <c r="C478" s="45"/>
    </row>
    <row r="479" spans="1:3">
      <c r="A479" s="9"/>
      <c r="B479" s="13"/>
      <c r="C479" s="45"/>
    </row>
    <row r="480" spans="1:3">
      <c r="A480" s="9"/>
      <c r="B480" s="13"/>
      <c r="C480" s="45"/>
    </row>
    <row r="481" spans="1:3">
      <c r="A481" s="9"/>
      <c r="B481" s="13"/>
      <c r="C481" s="45"/>
    </row>
    <row r="482" spans="1:3">
      <c r="A482" s="9"/>
      <c r="B482" s="13"/>
      <c r="C482" s="45"/>
    </row>
    <row r="483" spans="1:3">
      <c r="A483" s="9"/>
      <c r="B483" s="13"/>
      <c r="C483" s="45"/>
    </row>
    <row r="484" spans="1:3">
      <c r="A484" s="9"/>
      <c r="B484" s="13"/>
      <c r="C484" s="45"/>
    </row>
    <row r="485" spans="1:3">
      <c r="A485" s="9"/>
      <c r="B485" s="13"/>
      <c r="C485" s="45"/>
    </row>
    <row r="486" spans="1:3">
      <c r="A486" s="9"/>
      <c r="B486" s="13"/>
      <c r="C486" s="45"/>
    </row>
    <row r="487" spans="1:3">
      <c r="A487" s="9"/>
      <c r="B487" s="13"/>
      <c r="C487" s="45"/>
    </row>
    <row r="488" spans="1:3">
      <c r="A488" s="9"/>
      <c r="B488" s="13"/>
      <c r="C488" s="45"/>
    </row>
    <row r="489" spans="1:3">
      <c r="A489" s="9"/>
      <c r="B489" s="13"/>
      <c r="C489" s="45"/>
    </row>
    <row r="490" spans="1:3">
      <c r="A490" s="9"/>
      <c r="B490" s="13"/>
      <c r="C490" s="45"/>
    </row>
    <row r="491" spans="1:3">
      <c r="A491" s="9"/>
      <c r="B491" s="13"/>
      <c r="C491" s="45"/>
    </row>
    <row r="492" spans="1:3">
      <c r="A492" s="9"/>
      <c r="B492" s="13"/>
      <c r="C492" s="45"/>
    </row>
    <row r="493" spans="1:3">
      <c r="A493" s="9"/>
      <c r="B493" s="13"/>
      <c r="C493" s="45"/>
    </row>
    <row r="494" spans="1:3">
      <c r="A494" s="9"/>
      <c r="B494" s="13"/>
      <c r="C494" s="45"/>
    </row>
    <row r="495" spans="1:3">
      <c r="A495" s="9"/>
      <c r="B495" s="13"/>
      <c r="C495" s="45"/>
    </row>
    <row r="496" spans="1:3">
      <c r="A496" s="9"/>
      <c r="B496" s="13"/>
      <c r="C496" s="45"/>
    </row>
    <row r="497" spans="1:3">
      <c r="A497" s="9"/>
      <c r="B497" s="13"/>
      <c r="C497" s="45"/>
    </row>
    <row r="498" spans="1:3">
      <c r="A498" s="9"/>
      <c r="B498" s="13"/>
      <c r="C498" s="45"/>
    </row>
    <row r="499" spans="1:3">
      <c r="A499" s="9"/>
      <c r="B499" s="13"/>
      <c r="C499" s="45"/>
    </row>
    <row r="500" spans="1:3">
      <c r="A500" s="9"/>
      <c r="B500" s="13"/>
      <c r="C500" s="45"/>
    </row>
    <row r="501" spans="1:3">
      <c r="A501" s="9"/>
      <c r="B501" s="13"/>
      <c r="C501" s="45"/>
    </row>
    <row r="502" spans="1:3">
      <c r="A502" s="9"/>
      <c r="B502" s="13"/>
      <c r="C502" s="45"/>
    </row>
    <row r="503" spans="1:3">
      <c r="A503" s="9"/>
      <c r="B503" s="13"/>
      <c r="C503" s="45"/>
    </row>
    <row r="504" spans="1:3">
      <c r="A504" s="9"/>
      <c r="B504" s="13"/>
      <c r="C504" s="45"/>
    </row>
    <row r="505" spans="1:3">
      <c r="A505" s="9"/>
      <c r="B505" s="13"/>
      <c r="C505" s="45"/>
    </row>
    <row r="506" spans="1:3">
      <c r="A506" s="9"/>
      <c r="B506" s="13"/>
      <c r="C506" s="45"/>
    </row>
    <row r="507" spans="1:3">
      <c r="A507" s="9"/>
      <c r="B507" s="13"/>
      <c r="C507" s="45"/>
    </row>
    <row r="508" spans="1:3">
      <c r="A508" s="9"/>
      <c r="B508" s="13"/>
      <c r="C508" s="45"/>
    </row>
    <row r="509" spans="1:3">
      <c r="A509" s="9"/>
      <c r="B509" s="13"/>
      <c r="C509" s="45"/>
    </row>
    <row r="510" spans="1:3">
      <c r="A510" s="9"/>
      <c r="B510" s="13"/>
      <c r="C510" s="45"/>
    </row>
    <row r="511" spans="1:3">
      <c r="A511" s="9"/>
      <c r="B511" s="13"/>
      <c r="C511" s="45"/>
    </row>
    <row r="512" spans="1:3">
      <c r="A512" s="9"/>
      <c r="B512" s="13"/>
      <c r="C512" s="45"/>
    </row>
    <row r="513" spans="1:3">
      <c r="A513" s="9"/>
      <c r="B513" s="13"/>
      <c r="C513" s="45"/>
    </row>
    <row r="514" spans="1:3">
      <c r="A514" s="9"/>
      <c r="B514" s="13"/>
      <c r="C514" s="45"/>
    </row>
    <row r="515" spans="1:3">
      <c r="A515" s="9"/>
      <c r="B515" s="13"/>
      <c r="C515" s="45"/>
    </row>
    <row r="516" spans="1:3">
      <c r="A516" s="9"/>
      <c r="B516" s="13"/>
      <c r="C516" s="45"/>
    </row>
    <row r="517" spans="1:3">
      <c r="A517" s="9"/>
      <c r="B517" s="13"/>
      <c r="C517" s="45"/>
    </row>
    <row r="518" spans="1:3">
      <c r="A518" s="9"/>
      <c r="B518" s="13"/>
      <c r="C518" s="45"/>
    </row>
    <row r="519" spans="1:3">
      <c r="A519" s="9"/>
      <c r="B519" s="13"/>
      <c r="C519" s="45"/>
    </row>
    <row r="520" spans="1:3">
      <c r="A520" s="9"/>
      <c r="B520" s="13"/>
      <c r="C520" s="45"/>
    </row>
    <row r="521" spans="1:3">
      <c r="A521" s="9"/>
      <c r="B521" s="13"/>
      <c r="C521" s="45"/>
    </row>
    <row r="522" spans="1:3">
      <c r="A522" s="9"/>
      <c r="B522" s="13"/>
      <c r="C522" s="45"/>
    </row>
    <row r="523" spans="1:3">
      <c r="A523" s="9"/>
      <c r="B523" s="13"/>
      <c r="C523" s="45"/>
    </row>
    <row r="524" spans="1:3">
      <c r="A524" s="9"/>
      <c r="B524" s="13"/>
      <c r="C524" s="45"/>
    </row>
    <row r="525" spans="1:3">
      <c r="A525" s="9"/>
      <c r="B525" s="13"/>
      <c r="C525" s="45"/>
    </row>
    <row r="526" spans="1:3">
      <c r="A526" s="9"/>
      <c r="B526" s="13"/>
      <c r="C526" s="45"/>
    </row>
    <row r="527" spans="1:3">
      <c r="A527" s="9"/>
      <c r="B527" s="13"/>
      <c r="C527" s="45"/>
    </row>
    <row r="528" spans="1:3">
      <c r="A528" s="9"/>
      <c r="B528" s="13"/>
      <c r="C528" s="45"/>
    </row>
    <row r="529" spans="1:3">
      <c r="A529" s="9"/>
      <c r="B529" s="13"/>
      <c r="C529" s="45"/>
    </row>
    <row r="530" spans="1:3">
      <c r="A530" s="9"/>
      <c r="B530" s="13"/>
      <c r="C530" s="45"/>
    </row>
    <row r="531" spans="1:3">
      <c r="A531" s="9"/>
      <c r="B531" s="13"/>
      <c r="C531" s="45"/>
    </row>
    <row r="532" spans="1:3">
      <c r="A532" s="9"/>
      <c r="B532" s="13"/>
      <c r="C532" s="45"/>
    </row>
    <row r="533" spans="1:3">
      <c r="A533" s="9"/>
      <c r="B533" s="13"/>
      <c r="C533" s="45"/>
    </row>
    <row r="534" spans="1:3">
      <c r="A534" s="9"/>
      <c r="B534" s="13"/>
      <c r="C534" s="45"/>
    </row>
    <row r="535" spans="1:3">
      <c r="A535" s="9"/>
      <c r="B535" s="13"/>
      <c r="C535" s="45"/>
    </row>
    <row r="536" spans="1:3">
      <c r="A536" s="9"/>
      <c r="B536" s="13"/>
      <c r="C536" s="45"/>
    </row>
    <row r="537" spans="1:3">
      <c r="A537" s="9"/>
      <c r="B537" s="13"/>
      <c r="C537" s="45"/>
    </row>
    <row r="538" spans="1:3">
      <c r="A538" s="9"/>
      <c r="B538" s="13"/>
      <c r="C538" s="45"/>
    </row>
    <row r="539" spans="1:3">
      <c r="A539" s="9"/>
      <c r="B539" s="13"/>
      <c r="C539" s="45"/>
    </row>
    <row r="540" spans="1:3">
      <c r="A540" s="9"/>
      <c r="B540" s="13"/>
      <c r="C540" s="45"/>
    </row>
    <row r="541" spans="1:3">
      <c r="A541" s="9"/>
      <c r="B541" s="13"/>
      <c r="C541" s="45"/>
    </row>
    <row r="542" spans="1:3">
      <c r="A542" s="9"/>
      <c r="B542" s="13"/>
      <c r="C542" s="45"/>
    </row>
    <row r="543" spans="1:3">
      <c r="A543" s="9"/>
      <c r="B543" s="13"/>
      <c r="C543" s="45"/>
    </row>
    <row r="544" spans="1:3">
      <c r="A544" s="9"/>
      <c r="B544" s="13"/>
      <c r="C544" s="45"/>
    </row>
    <row r="545" spans="1:3">
      <c r="A545" s="9"/>
      <c r="B545" s="13"/>
      <c r="C545" s="45"/>
    </row>
    <row r="546" spans="1:3">
      <c r="A546" s="9"/>
      <c r="B546" s="13"/>
      <c r="C546" s="45"/>
    </row>
    <row r="547" spans="1:3">
      <c r="A547" s="9"/>
      <c r="B547" s="13"/>
      <c r="C547" s="45"/>
    </row>
    <row r="548" spans="1:3">
      <c r="A548" s="9"/>
      <c r="B548" s="13"/>
      <c r="C548" s="45"/>
    </row>
    <row r="549" spans="1:3">
      <c r="A549" s="9"/>
      <c r="B549" s="13"/>
      <c r="C549" s="45"/>
    </row>
    <row r="550" spans="1:3">
      <c r="A550" s="9"/>
      <c r="B550" s="13"/>
      <c r="C550" s="45"/>
    </row>
    <row r="551" spans="1:3">
      <c r="A551" s="9"/>
      <c r="B551" s="13"/>
      <c r="C551" s="45"/>
    </row>
    <row r="552" spans="1:3">
      <c r="A552" s="9"/>
      <c r="B552" s="13"/>
      <c r="C552" s="45"/>
    </row>
    <row r="553" spans="1:3">
      <c r="A553" s="9"/>
      <c r="B553" s="13"/>
      <c r="C553" s="45"/>
    </row>
    <row r="554" spans="1:3">
      <c r="A554" s="9"/>
      <c r="B554" s="13"/>
      <c r="C554" s="45"/>
    </row>
    <row r="555" spans="1:3">
      <c r="A555" s="9"/>
      <c r="B555" s="13"/>
      <c r="C555" s="45"/>
    </row>
    <row r="556" spans="1:3">
      <c r="A556" s="9"/>
      <c r="B556" s="13"/>
      <c r="C556" s="45"/>
    </row>
    <row r="557" spans="1:3">
      <c r="A557" s="9"/>
      <c r="B557" s="13"/>
      <c r="C557" s="45"/>
    </row>
    <row r="558" spans="1:3">
      <c r="A558" s="9"/>
      <c r="B558" s="13"/>
      <c r="C558" s="45"/>
    </row>
    <row r="559" spans="1:3">
      <c r="A559" s="9"/>
      <c r="B559" s="13"/>
      <c r="C559" s="45"/>
    </row>
    <row r="560" spans="1:3">
      <c r="A560" s="9"/>
      <c r="B560" s="13"/>
      <c r="C560" s="45"/>
    </row>
    <row r="561" spans="1:3">
      <c r="A561" s="9"/>
      <c r="B561" s="13"/>
      <c r="C561" s="45"/>
    </row>
    <row r="562" spans="1:3">
      <c r="A562" s="9"/>
      <c r="B562" s="13"/>
      <c r="C562" s="45"/>
    </row>
    <row r="563" spans="1:3">
      <c r="A563" s="9"/>
      <c r="B563" s="13"/>
      <c r="C563" s="45"/>
    </row>
    <row r="564" spans="1:3">
      <c r="A564" s="9"/>
      <c r="B564" s="13"/>
      <c r="C564" s="45"/>
    </row>
    <row r="565" spans="1:3">
      <c r="A565" s="9"/>
      <c r="B565" s="13"/>
      <c r="C565" s="45"/>
    </row>
    <row r="566" spans="1:3">
      <c r="A566" s="9"/>
      <c r="B566" s="13"/>
      <c r="C566" s="45"/>
    </row>
    <row r="567" spans="1:3">
      <c r="A567" s="9"/>
      <c r="B567" s="13"/>
      <c r="C567" s="45"/>
    </row>
    <row r="568" spans="1:3">
      <c r="A568" s="9"/>
      <c r="B568" s="13"/>
      <c r="C568" s="45"/>
    </row>
    <row r="569" spans="1:3">
      <c r="A569" s="9"/>
      <c r="B569" s="13"/>
      <c r="C569" s="45"/>
    </row>
    <row r="570" spans="1:3">
      <c r="A570" s="9"/>
      <c r="B570" s="13"/>
      <c r="C570" s="45"/>
    </row>
    <row r="571" spans="1:3">
      <c r="A571" s="9"/>
      <c r="B571" s="13"/>
      <c r="C571" s="45"/>
    </row>
    <row r="572" spans="1:3">
      <c r="A572" s="9"/>
      <c r="B572" s="13"/>
      <c r="C572" s="45"/>
    </row>
    <row r="573" spans="1:3">
      <c r="A573" s="9"/>
      <c r="B573" s="13"/>
      <c r="C573" s="45"/>
    </row>
    <row r="574" spans="1:3">
      <c r="A574" s="9"/>
      <c r="B574" s="13"/>
      <c r="C574" s="45"/>
    </row>
    <row r="575" spans="1:3">
      <c r="A575" s="9"/>
      <c r="B575" s="13"/>
      <c r="C575" s="45"/>
    </row>
    <row r="576" spans="1:3">
      <c r="A576" s="9"/>
      <c r="B576" s="13"/>
      <c r="C576" s="45"/>
    </row>
    <row r="577" spans="1:3">
      <c r="A577" s="9"/>
      <c r="B577" s="13"/>
      <c r="C577" s="45"/>
    </row>
    <row r="578" spans="1:3">
      <c r="A578" s="9"/>
      <c r="B578" s="13"/>
      <c r="C578" s="45"/>
    </row>
    <row r="579" spans="1:3">
      <c r="A579" s="9"/>
      <c r="B579" s="13"/>
      <c r="C579" s="45"/>
    </row>
    <row r="580" spans="1:3">
      <c r="A580" s="9"/>
      <c r="B580" s="13"/>
      <c r="C580" s="45"/>
    </row>
    <row r="581" spans="1:3">
      <c r="A581" s="9"/>
      <c r="B581" s="13"/>
      <c r="C581" s="45"/>
    </row>
    <row r="582" spans="1:3">
      <c r="A582" s="9"/>
      <c r="B582" s="13"/>
      <c r="C582" s="45"/>
    </row>
    <row r="583" spans="1:3">
      <c r="A583" s="9"/>
      <c r="B583" s="13"/>
      <c r="C583" s="45"/>
    </row>
    <row r="584" spans="1:3">
      <c r="A584" s="9"/>
      <c r="B584" s="13"/>
      <c r="C584" s="45"/>
    </row>
    <row r="585" spans="1:3">
      <c r="A585" s="9"/>
      <c r="B585" s="13"/>
      <c r="C585" s="45"/>
    </row>
    <row r="586" spans="1:3">
      <c r="A586" s="9"/>
      <c r="B586" s="13"/>
      <c r="C586" s="45"/>
    </row>
    <row r="587" spans="1:3">
      <c r="A587" s="9"/>
      <c r="B587" s="13"/>
      <c r="C587" s="45"/>
    </row>
    <row r="588" spans="1:3">
      <c r="A588" s="9"/>
      <c r="B588" s="13"/>
      <c r="C588" s="45"/>
    </row>
    <row r="589" spans="1:3">
      <c r="A589" s="9"/>
      <c r="B589" s="13"/>
      <c r="C589" s="45"/>
    </row>
    <row r="590" spans="1:3">
      <c r="A590" s="9"/>
      <c r="B590" s="13"/>
      <c r="C590" s="45"/>
    </row>
    <row r="591" spans="1:3">
      <c r="A591" s="9"/>
      <c r="B591" s="13"/>
      <c r="C591" s="45"/>
    </row>
    <row r="592" spans="1:3">
      <c r="A592" s="9"/>
      <c r="B592" s="13"/>
      <c r="C592" s="45"/>
    </row>
    <row r="593" spans="1:3">
      <c r="A593" s="9"/>
      <c r="B593" s="13"/>
      <c r="C593" s="45"/>
    </row>
    <row r="594" spans="1:3">
      <c r="A594" s="9"/>
      <c r="B594" s="13"/>
      <c r="C594" s="45"/>
    </row>
    <row r="595" spans="1:3">
      <c r="A595" s="9"/>
      <c r="B595" s="13"/>
      <c r="C595" s="45"/>
    </row>
    <row r="596" spans="1:3">
      <c r="A596" s="9"/>
      <c r="B596" s="13"/>
      <c r="C596" s="45"/>
    </row>
    <row r="597" spans="1:3">
      <c r="A597" s="9"/>
      <c r="B597" s="13"/>
      <c r="C597" s="45"/>
    </row>
    <row r="598" spans="1:3">
      <c r="A598" s="9"/>
      <c r="B598" s="13"/>
      <c r="C598" s="45"/>
    </row>
    <row r="599" spans="1:3">
      <c r="A599" s="9"/>
      <c r="B599" s="13"/>
      <c r="C599" s="45"/>
    </row>
    <row r="600" spans="1:3">
      <c r="A600" s="9"/>
      <c r="B600" s="13"/>
      <c r="C600" s="45"/>
    </row>
    <row r="601" spans="1:3">
      <c r="A601" s="9"/>
      <c r="B601" s="13"/>
      <c r="C601" s="45"/>
    </row>
    <row r="602" spans="1:3">
      <c r="A602" s="9"/>
      <c r="B602" s="13"/>
      <c r="C602" s="45"/>
    </row>
    <row r="603" spans="1:3">
      <c r="A603" s="9"/>
      <c r="B603" s="13"/>
      <c r="C603" s="45"/>
    </row>
    <row r="604" spans="1:3">
      <c r="A604" s="9"/>
      <c r="B604" s="13"/>
      <c r="C604" s="45"/>
    </row>
    <row r="605" spans="1:3">
      <c r="A605" s="9"/>
      <c r="B605" s="13"/>
      <c r="C605" s="45"/>
    </row>
    <row r="606" spans="1:3">
      <c r="A606" s="9"/>
      <c r="B606" s="13"/>
      <c r="C606" s="45"/>
    </row>
    <row r="607" spans="1:3">
      <c r="A607" s="9"/>
      <c r="B607" s="13"/>
      <c r="C607" s="45"/>
    </row>
    <row r="608" spans="1:3">
      <c r="A608" s="9"/>
      <c r="B608" s="13"/>
      <c r="C608" s="45"/>
    </row>
    <row r="609" spans="1:3">
      <c r="A609" s="9"/>
      <c r="B609" s="13"/>
      <c r="C609" s="45"/>
    </row>
    <row r="610" spans="1:3">
      <c r="A610" s="9"/>
      <c r="B610" s="13"/>
      <c r="C610" s="45"/>
    </row>
    <row r="611" spans="1:3">
      <c r="A611" s="9"/>
      <c r="B611" s="13"/>
      <c r="C611" s="45"/>
    </row>
    <row r="612" spans="1:3">
      <c r="A612" s="9"/>
      <c r="B612" s="13"/>
      <c r="C612" s="45"/>
    </row>
    <row r="613" spans="1:3">
      <c r="A613" s="9"/>
      <c r="B613" s="13"/>
      <c r="C613" s="45"/>
    </row>
    <row r="614" spans="1:3">
      <c r="A614" s="9"/>
      <c r="B614" s="13"/>
      <c r="C614" s="45"/>
    </row>
    <row r="615" spans="1:3">
      <c r="A615" s="9"/>
      <c r="B615" s="13"/>
      <c r="C615" s="45"/>
    </row>
    <row r="616" spans="1:3">
      <c r="A616" s="9"/>
      <c r="B616" s="13"/>
      <c r="C616" s="45"/>
    </row>
    <row r="617" spans="1:3">
      <c r="A617" s="9"/>
      <c r="B617" s="13"/>
      <c r="C617" s="45"/>
    </row>
    <row r="618" spans="1:3">
      <c r="A618" s="9"/>
      <c r="B618" s="13"/>
      <c r="C618" s="45"/>
    </row>
    <row r="619" spans="1:3">
      <c r="A619" s="9"/>
      <c r="B619" s="13"/>
      <c r="C619" s="45"/>
    </row>
    <row r="620" spans="1:3">
      <c r="A620" s="9"/>
      <c r="B620" s="13"/>
      <c r="C620" s="45"/>
    </row>
    <row r="621" spans="1:3">
      <c r="A621" s="9"/>
      <c r="B621" s="13"/>
      <c r="C621" s="45"/>
    </row>
    <row r="622" spans="1:3">
      <c r="A622" s="9"/>
      <c r="B622" s="13"/>
      <c r="C622" s="45"/>
    </row>
    <row r="623" spans="1:3">
      <c r="A623" s="9"/>
      <c r="B623" s="13"/>
      <c r="C623" s="45"/>
    </row>
    <row r="624" spans="1:3">
      <c r="A624" s="9"/>
      <c r="B624" s="13"/>
      <c r="C624" s="45"/>
    </row>
    <row r="625" spans="1:3">
      <c r="A625" s="9"/>
      <c r="B625" s="13"/>
      <c r="C625" s="45"/>
    </row>
    <row r="626" spans="1:3">
      <c r="A626" s="9"/>
      <c r="B626" s="13"/>
      <c r="C626" s="45"/>
    </row>
    <row r="627" spans="1:3">
      <c r="A627" s="9"/>
      <c r="B627" s="13"/>
      <c r="C627" s="45"/>
    </row>
    <row r="628" spans="1:3">
      <c r="A628" s="9"/>
      <c r="B628" s="13"/>
      <c r="C628" s="45"/>
    </row>
    <row r="629" spans="1:3">
      <c r="A629" s="9"/>
      <c r="B629" s="13"/>
      <c r="C629" s="45"/>
    </row>
    <row r="630" spans="1:3">
      <c r="A630" s="9"/>
      <c r="B630" s="13"/>
      <c r="C630" s="45"/>
    </row>
    <row r="631" spans="1:3">
      <c r="A631" s="9"/>
      <c r="B631" s="13"/>
      <c r="C631" s="45"/>
    </row>
    <row r="632" spans="1:3">
      <c r="A632" s="9"/>
      <c r="B632" s="13"/>
      <c r="C632" s="45"/>
    </row>
    <row r="633" spans="1:3">
      <c r="A633" s="9"/>
      <c r="B633" s="13"/>
      <c r="C633" s="45"/>
    </row>
    <row r="634" spans="1:3">
      <c r="A634" s="9"/>
      <c r="B634" s="13"/>
      <c r="C634" s="45"/>
    </row>
    <row r="635" spans="1:3">
      <c r="A635" s="9"/>
      <c r="B635" s="13"/>
      <c r="C635" s="45"/>
    </row>
    <row r="636" spans="1:3">
      <c r="A636" s="9"/>
      <c r="B636" s="13"/>
      <c r="C636" s="45"/>
    </row>
    <row r="637" spans="1:3">
      <c r="A637" s="9"/>
      <c r="B637" s="13"/>
      <c r="C637" s="45"/>
    </row>
    <row r="638" spans="1:3">
      <c r="A638" s="9"/>
      <c r="B638" s="13"/>
      <c r="C638" s="45"/>
    </row>
    <row r="639" spans="1:3">
      <c r="A639" s="9"/>
      <c r="B639" s="13"/>
      <c r="C639" s="45"/>
    </row>
    <row r="640" spans="1:3">
      <c r="A640" s="9"/>
      <c r="B640" s="13"/>
      <c r="C640" s="45"/>
    </row>
    <row r="641" spans="1:3">
      <c r="A641" s="9"/>
      <c r="B641" s="13"/>
      <c r="C641" s="45"/>
    </row>
    <row r="642" spans="1:3">
      <c r="A642" s="9"/>
      <c r="B642" s="13"/>
      <c r="C642" s="45"/>
    </row>
    <row r="643" spans="1:3">
      <c r="A643" s="9"/>
      <c r="B643" s="13"/>
      <c r="C643" s="45"/>
    </row>
    <row r="644" spans="1:3">
      <c r="A644" s="9"/>
      <c r="B644" s="13"/>
      <c r="C644" s="45"/>
    </row>
    <row r="645" spans="1:3">
      <c r="A645" s="9"/>
      <c r="B645" s="13"/>
      <c r="C645" s="45"/>
    </row>
    <row r="646" spans="1:3">
      <c r="A646" s="9"/>
      <c r="B646" s="13"/>
      <c r="C646" s="45"/>
    </row>
    <row r="647" spans="1:3">
      <c r="A647" s="9"/>
      <c r="B647" s="13"/>
      <c r="C647" s="45"/>
    </row>
    <row r="648" spans="1:3">
      <c r="A648" s="9"/>
      <c r="B648" s="13"/>
      <c r="C648" s="45"/>
    </row>
    <row r="649" spans="1:3">
      <c r="A649" s="9"/>
      <c r="B649" s="13"/>
      <c r="C649" s="45"/>
    </row>
    <row r="650" spans="1:3">
      <c r="A650" s="9"/>
      <c r="B650" s="13"/>
      <c r="C650" s="45"/>
    </row>
    <row r="651" spans="1:3">
      <c r="A651" s="9"/>
      <c r="B651" s="13"/>
      <c r="C651" s="45"/>
    </row>
    <row r="652" spans="1:3">
      <c r="A652" s="9"/>
      <c r="B652" s="13"/>
      <c r="C652" s="45"/>
    </row>
    <row r="653" spans="1:3">
      <c r="A653" s="9"/>
      <c r="B653" s="13"/>
      <c r="C653" s="45"/>
    </row>
    <row r="654" spans="1:3">
      <c r="A654" s="9"/>
      <c r="B654" s="13"/>
      <c r="C654" s="45"/>
    </row>
    <row r="655" spans="1:3">
      <c r="A655" s="9"/>
      <c r="B655" s="13"/>
      <c r="C655" s="45"/>
    </row>
    <row r="656" spans="1:3">
      <c r="A656" s="9"/>
      <c r="B656" s="13"/>
      <c r="C656" s="45"/>
    </row>
    <row r="657" spans="1:3">
      <c r="A657" s="9"/>
      <c r="B657" s="13"/>
      <c r="C657" s="45"/>
    </row>
    <row r="658" spans="1:3">
      <c r="A658" s="9"/>
      <c r="B658" s="13"/>
      <c r="C658" s="45"/>
    </row>
    <row r="659" spans="1:3">
      <c r="A659" s="9"/>
      <c r="B659" s="13"/>
      <c r="C659" s="45"/>
    </row>
    <row r="660" spans="1:3">
      <c r="A660" s="9"/>
      <c r="B660" s="13"/>
      <c r="C660" s="45"/>
    </row>
    <row r="661" spans="1:3">
      <c r="A661" s="9"/>
      <c r="B661" s="13"/>
      <c r="C661" s="45"/>
    </row>
    <row r="662" spans="1:3">
      <c r="A662" s="9"/>
      <c r="B662" s="13"/>
      <c r="C662" s="45"/>
    </row>
    <row r="663" spans="1:3">
      <c r="A663" s="9"/>
      <c r="B663" s="13"/>
      <c r="C663" s="45"/>
    </row>
    <row r="664" spans="1:3">
      <c r="A664" s="9"/>
      <c r="B664" s="13"/>
      <c r="C664" s="45"/>
    </row>
    <row r="665" spans="1:3">
      <c r="A665" s="9"/>
      <c r="B665" s="13"/>
      <c r="C665" s="45"/>
    </row>
    <row r="666" spans="1:3">
      <c r="A666" s="9"/>
      <c r="B666" s="13"/>
      <c r="C666" s="45"/>
    </row>
    <row r="667" spans="1:3">
      <c r="A667" s="9"/>
      <c r="B667" s="13"/>
      <c r="C667" s="45"/>
    </row>
    <row r="668" spans="1:3">
      <c r="A668" s="9"/>
      <c r="B668" s="13"/>
      <c r="C668" s="45"/>
    </row>
    <row r="669" spans="1:3">
      <c r="A669" s="9"/>
      <c r="B669" s="13"/>
      <c r="C669" s="45"/>
    </row>
    <row r="670" spans="1:3">
      <c r="A670" s="9"/>
      <c r="B670" s="13"/>
      <c r="C670" s="45"/>
    </row>
    <row r="671" spans="1:3">
      <c r="A671" s="9"/>
      <c r="B671" s="13"/>
      <c r="C671" s="45"/>
    </row>
    <row r="672" spans="1:3">
      <c r="A672" s="9"/>
      <c r="B672" s="13"/>
      <c r="C672" s="45"/>
    </row>
    <row r="673" spans="1:3">
      <c r="A673" s="9"/>
      <c r="B673" s="13"/>
      <c r="C673" s="45"/>
    </row>
    <row r="674" spans="1:3">
      <c r="A674" s="9"/>
      <c r="B674" s="13"/>
      <c r="C674" s="45"/>
    </row>
    <row r="675" spans="1:3">
      <c r="A675" s="9"/>
      <c r="B675" s="13"/>
      <c r="C675" s="45"/>
    </row>
    <row r="676" spans="1:3">
      <c r="A676" s="9"/>
      <c r="B676" s="13"/>
      <c r="C676" s="45"/>
    </row>
    <row r="677" spans="1:3">
      <c r="A677" s="9"/>
      <c r="B677" s="13"/>
      <c r="C677" s="45"/>
    </row>
    <row r="678" spans="1:3">
      <c r="A678" s="9"/>
      <c r="B678" s="13"/>
      <c r="C678" s="45"/>
    </row>
    <row r="679" spans="1:3">
      <c r="A679" s="9"/>
      <c r="B679" s="13"/>
      <c r="C679" s="45"/>
    </row>
    <row r="680" spans="1:3">
      <c r="A680" s="9"/>
      <c r="B680" s="13"/>
      <c r="C680" s="45"/>
    </row>
    <row r="681" spans="1:3">
      <c r="A681" s="9"/>
      <c r="B681" s="13"/>
      <c r="C681" s="45"/>
    </row>
    <row r="682" spans="1:3">
      <c r="A682" s="9"/>
      <c r="B682" s="13"/>
      <c r="C682" s="45"/>
    </row>
    <row r="683" spans="1:3">
      <c r="A683" s="9"/>
      <c r="B683" s="13"/>
      <c r="C683" s="45"/>
    </row>
    <row r="684" spans="1:3">
      <c r="A684" s="9"/>
      <c r="B684" s="13"/>
      <c r="C684" s="45"/>
    </row>
    <row r="685" spans="1:3">
      <c r="A685" s="9"/>
      <c r="B685" s="13"/>
      <c r="C685" s="45"/>
    </row>
    <row r="686" spans="1:3">
      <c r="A686" s="9"/>
      <c r="B686" s="13"/>
      <c r="C686" s="45"/>
    </row>
    <row r="687" spans="1:3">
      <c r="A687" s="9"/>
      <c r="B687" s="13"/>
      <c r="C687" s="45"/>
    </row>
    <row r="688" spans="1:3">
      <c r="A688" s="9"/>
      <c r="B688" s="13"/>
      <c r="C688" s="45"/>
    </row>
    <row r="689" spans="1:3">
      <c r="A689" s="9"/>
      <c r="B689" s="13"/>
      <c r="C689" s="45"/>
    </row>
    <row r="690" spans="1:3">
      <c r="A690" s="9"/>
      <c r="B690" s="13"/>
      <c r="C690" s="45"/>
    </row>
    <row r="691" spans="1:3">
      <c r="A691" s="9"/>
      <c r="B691" s="13"/>
      <c r="C691" s="45"/>
    </row>
    <row r="692" spans="1:3">
      <c r="A692" s="9"/>
      <c r="B692" s="13"/>
      <c r="C692" s="45"/>
    </row>
    <row r="693" spans="1:3">
      <c r="A693" s="9"/>
      <c r="B693" s="13"/>
      <c r="C693" s="45"/>
    </row>
    <row r="694" spans="1:3">
      <c r="A694" s="9"/>
      <c r="B694" s="13"/>
      <c r="C694" s="45"/>
    </row>
    <row r="695" spans="1:3">
      <c r="A695" s="9"/>
      <c r="B695" s="13"/>
      <c r="C695" s="45"/>
    </row>
    <row r="696" spans="1:3">
      <c r="A696" s="9"/>
      <c r="B696" s="13"/>
      <c r="C696" s="45"/>
    </row>
    <row r="697" spans="1:3">
      <c r="A697" s="9"/>
      <c r="B697" s="13"/>
      <c r="C697" s="45"/>
    </row>
    <row r="698" spans="1:3">
      <c r="A698" s="9"/>
      <c r="B698" s="13"/>
      <c r="C698" s="45"/>
    </row>
    <row r="699" spans="1:3">
      <c r="A699" s="9"/>
      <c r="B699" s="13"/>
      <c r="C699" s="45"/>
    </row>
    <row r="700" spans="1:3">
      <c r="A700" s="9"/>
      <c r="B700" s="13"/>
      <c r="C700" s="45"/>
    </row>
    <row r="701" spans="1:3">
      <c r="A701" s="9"/>
      <c r="B701" s="13"/>
      <c r="C701" s="45"/>
    </row>
    <row r="702" spans="1:3">
      <c r="A702" s="9"/>
      <c r="B702" s="13"/>
      <c r="C702" s="45"/>
    </row>
    <row r="703" spans="1:3">
      <c r="A703" s="9"/>
      <c r="B703" s="13"/>
      <c r="C703" s="45"/>
    </row>
    <row r="704" spans="1:3">
      <c r="A704" s="9"/>
      <c r="B704" s="13"/>
      <c r="C704" s="45"/>
    </row>
    <row r="705" spans="1:3">
      <c r="A705" s="9"/>
      <c r="B705" s="13"/>
      <c r="C705" s="45"/>
    </row>
    <row r="706" spans="1:3">
      <c r="A706" s="9"/>
      <c r="B706" s="13"/>
      <c r="C706" s="45"/>
    </row>
    <row r="707" spans="1:3">
      <c r="A707" s="9"/>
      <c r="B707" s="13"/>
      <c r="C707" s="45"/>
    </row>
    <row r="708" spans="1:3">
      <c r="A708" s="9"/>
      <c r="B708" s="13"/>
      <c r="C708" s="45"/>
    </row>
    <row r="709" spans="1:3">
      <c r="A709" s="9"/>
      <c r="B709" s="13"/>
      <c r="C709" s="45"/>
    </row>
    <row r="710" spans="1:3">
      <c r="A710" s="9"/>
      <c r="B710" s="13"/>
      <c r="C710" s="45"/>
    </row>
    <row r="711" spans="1:3">
      <c r="A711" s="9"/>
      <c r="B711" s="13"/>
      <c r="C711" s="45"/>
    </row>
    <row r="712" spans="1:3">
      <c r="A712" s="9"/>
      <c r="B712" s="13"/>
      <c r="C712" s="45"/>
    </row>
    <row r="713" spans="1:3">
      <c r="A713" s="9"/>
      <c r="B713" s="13"/>
      <c r="C713" s="45"/>
    </row>
    <row r="714" spans="1:3">
      <c r="A714" s="9"/>
      <c r="B714" s="13"/>
      <c r="C714" s="45"/>
    </row>
    <row r="715" spans="1:3">
      <c r="A715" s="9"/>
      <c r="B715" s="13"/>
      <c r="C715" s="45"/>
    </row>
    <row r="716" spans="1:3">
      <c r="A716" s="9"/>
      <c r="B716" s="13"/>
      <c r="C716" s="45"/>
    </row>
    <row r="717" spans="1:3">
      <c r="A717" s="9"/>
      <c r="B717" s="13"/>
      <c r="C717" s="45"/>
    </row>
    <row r="718" spans="1:3">
      <c r="A718" s="9"/>
      <c r="B718" s="13"/>
      <c r="C718" s="45"/>
    </row>
    <row r="719" spans="1:3">
      <c r="A719" s="9"/>
      <c r="B719" s="13"/>
      <c r="C719" s="45"/>
    </row>
    <row r="720" spans="1:3">
      <c r="A720" s="9"/>
      <c r="B720" s="13"/>
      <c r="C720" s="45"/>
    </row>
    <row r="721" spans="1:3">
      <c r="A721" s="9"/>
      <c r="B721" s="13"/>
      <c r="C721" s="45"/>
    </row>
    <row r="722" spans="1:3">
      <c r="A722" s="9"/>
      <c r="B722" s="13"/>
      <c r="C722" s="45"/>
    </row>
    <row r="723" spans="1:3">
      <c r="A723" s="9"/>
      <c r="B723" s="13"/>
      <c r="C723" s="45"/>
    </row>
    <row r="724" spans="1:3">
      <c r="A724" s="9"/>
      <c r="B724" s="13"/>
      <c r="C724" s="45"/>
    </row>
    <row r="725" spans="1:3">
      <c r="A725" s="9"/>
      <c r="B725" s="13"/>
      <c r="C725" s="45"/>
    </row>
    <row r="726" spans="1:3">
      <c r="A726" s="9"/>
      <c r="B726" s="13"/>
      <c r="C726" s="45"/>
    </row>
    <row r="727" spans="1:3">
      <c r="A727" s="9"/>
      <c r="B727" s="13"/>
      <c r="C727" s="45"/>
    </row>
    <row r="728" spans="1:3">
      <c r="A728" s="9"/>
      <c r="B728" s="13"/>
      <c r="C728" s="45"/>
    </row>
    <row r="729" spans="1:3">
      <c r="A729" s="9"/>
      <c r="B729" s="13"/>
      <c r="C729" s="45"/>
    </row>
    <row r="730" spans="1:3">
      <c r="A730" s="9"/>
      <c r="B730" s="13"/>
      <c r="C730" s="45"/>
    </row>
    <row r="731" spans="1:3">
      <c r="A731" s="9"/>
      <c r="B731" s="13"/>
      <c r="C731" s="45"/>
    </row>
    <row r="732" spans="1:3">
      <c r="A732" s="9"/>
      <c r="B732" s="13"/>
      <c r="C732" s="45"/>
    </row>
    <row r="733" spans="1:3">
      <c r="A733" s="9"/>
      <c r="B733" s="13"/>
      <c r="C733" s="45"/>
    </row>
    <row r="734" spans="1:3">
      <c r="A734" s="9"/>
      <c r="B734" s="13"/>
      <c r="C734" s="45"/>
    </row>
    <row r="735" spans="1:3">
      <c r="A735" s="9"/>
      <c r="B735" s="13"/>
      <c r="C735" s="45"/>
    </row>
    <row r="736" spans="1:3">
      <c r="A736" s="9"/>
      <c r="B736" s="13"/>
      <c r="C736" s="45"/>
    </row>
    <row r="737" spans="1:3">
      <c r="A737" s="9"/>
      <c r="B737" s="13"/>
      <c r="C737" s="45"/>
    </row>
    <row r="738" spans="1:3">
      <c r="A738" s="9"/>
      <c r="B738" s="13"/>
      <c r="C738" s="45"/>
    </row>
    <row r="739" spans="1:3">
      <c r="A739" s="9"/>
      <c r="B739" s="13"/>
      <c r="C739" s="45"/>
    </row>
    <row r="740" spans="1:3">
      <c r="A740" s="9"/>
      <c r="B740" s="13"/>
      <c r="C740" s="45"/>
    </row>
    <row r="741" spans="1:3">
      <c r="A741" s="9"/>
      <c r="B741" s="13"/>
      <c r="C741" s="45"/>
    </row>
    <row r="742" spans="1:3">
      <c r="A742" s="9"/>
      <c r="B742" s="13"/>
      <c r="C742" s="45"/>
    </row>
    <row r="743" spans="1:3">
      <c r="A743" s="9"/>
      <c r="B743" s="13"/>
      <c r="C743" s="45"/>
    </row>
    <row r="744" spans="1:3">
      <c r="A744" s="9"/>
      <c r="B744" s="13"/>
      <c r="C744" s="45"/>
    </row>
    <row r="745" spans="1:3">
      <c r="A745" s="9"/>
      <c r="B745" s="13"/>
      <c r="C745" s="45"/>
    </row>
    <row r="746" spans="1:3">
      <c r="A746" s="9"/>
      <c r="B746" s="13"/>
      <c r="C746" s="45"/>
    </row>
    <row r="747" spans="1:3">
      <c r="A747" s="9"/>
      <c r="B747" s="13"/>
      <c r="C747" s="45"/>
    </row>
    <row r="748" spans="1:3">
      <c r="A748" s="9"/>
      <c r="B748" s="13"/>
      <c r="C748" s="45"/>
    </row>
    <row r="749" spans="1:3">
      <c r="A749" s="9"/>
      <c r="B749" s="13"/>
      <c r="C749" s="45"/>
    </row>
    <row r="750" spans="1:3">
      <c r="A750" s="9"/>
      <c r="B750" s="13"/>
      <c r="C750" s="45"/>
    </row>
    <row r="751" spans="1:3">
      <c r="A751" s="9"/>
      <c r="B751" s="13"/>
      <c r="C751" s="45"/>
    </row>
    <row r="752" spans="1:3">
      <c r="A752" s="9"/>
      <c r="B752" s="13"/>
      <c r="C752" s="45"/>
    </row>
    <row r="753" spans="1:3">
      <c r="A753" s="9"/>
      <c r="B753" s="13"/>
      <c r="C753" s="45"/>
    </row>
    <row r="754" spans="1:3">
      <c r="A754" s="9"/>
      <c r="B754" s="13"/>
      <c r="C754" s="45"/>
    </row>
    <row r="755" spans="1:3">
      <c r="A755" s="9"/>
      <c r="B755" s="13"/>
      <c r="C755" s="45"/>
    </row>
    <row r="756" spans="1:3">
      <c r="A756" s="9"/>
      <c r="B756" s="13"/>
      <c r="C756" s="45"/>
    </row>
    <row r="757" spans="1:3">
      <c r="A757" s="9"/>
      <c r="B757" s="13"/>
      <c r="C757" s="45"/>
    </row>
    <row r="758" spans="1:3">
      <c r="A758" s="9"/>
      <c r="B758" s="13"/>
      <c r="C758" s="45"/>
    </row>
    <row r="759" spans="1:3">
      <c r="A759" s="9"/>
      <c r="B759" s="13"/>
      <c r="C759" s="45"/>
    </row>
    <row r="760" spans="1:3">
      <c r="A760" s="9"/>
      <c r="B760" s="13"/>
      <c r="C760" s="45"/>
    </row>
    <row r="761" spans="1:3">
      <c r="A761" s="9"/>
      <c r="B761" s="13"/>
      <c r="C761" s="45"/>
    </row>
    <row r="762" spans="1:3">
      <c r="A762" s="9"/>
      <c r="B762" s="13"/>
      <c r="C762" s="45"/>
    </row>
    <row r="763" spans="1:3">
      <c r="A763" s="9"/>
      <c r="B763" s="13"/>
      <c r="C763" s="45"/>
    </row>
    <row r="764" spans="1:3">
      <c r="A764" s="9"/>
      <c r="B764" s="13"/>
      <c r="C764" s="45"/>
    </row>
    <row r="765" spans="1:3">
      <c r="A765" s="9"/>
      <c r="B765" s="13"/>
      <c r="C765" s="45"/>
    </row>
    <row r="766" spans="1:3">
      <c r="A766" s="9"/>
      <c r="B766" s="13"/>
      <c r="C766" s="45"/>
    </row>
    <row r="767" spans="1:3">
      <c r="A767" s="9"/>
      <c r="B767" s="13"/>
      <c r="C767" s="45"/>
    </row>
    <row r="768" spans="1:3">
      <c r="A768" s="9"/>
      <c r="B768" s="13"/>
      <c r="C768" s="45"/>
    </row>
    <row r="769" spans="1:3">
      <c r="A769" s="9"/>
      <c r="B769" s="13"/>
      <c r="C769" s="45"/>
    </row>
    <row r="770" spans="1:3">
      <c r="A770" s="9"/>
      <c r="B770" s="13"/>
      <c r="C770" s="45"/>
    </row>
    <row r="771" spans="1:3">
      <c r="A771" s="9"/>
      <c r="B771" s="13"/>
      <c r="C771" s="45"/>
    </row>
    <row r="772" spans="1:3">
      <c r="A772" s="9"/>
      <c r="B772" s="13"/>
      <c r="C772" s="45"/>
    </row>
    <row r="773" spans="1:3">
      <c r="A773" s="9"/>
      <c r="B773" s="13"/>
      <c r="C773" s="45"/>
    </row>
    <row r="774" spans="1:3">
      <c r="A774" s="9"/>
      <c r="B774" s="13"/>
      <c r="C774" s="45"/>
    </row>
    <row r="775" spans="1:3">
      <c r="A775" s="9"/>
      <c r="B775" s="13"/>
      <c r="C775" s="45"/>
    </row>
    <row r="776" spans="1:3">
      <c r="A776" s="9"/>
      <c r="B776" s="13"/>
      <c r="C776" s="45"/>
    </row>
    <row r="777" spans="1:3">
      <c r="A777" s="9"/>
      <c r="B777" s="13"/>
      <c r="C777" s="45"/>
    </row>
    <row r="778" spans="1:3">
      <c r="A778" s="9"/>
      <c r="B778" s="13"/>
      <c r="C778" s="45"/>
    </row>
    <row r="779" spans="1:3">
      <c r="A779" s="9"/>
      <c r="B779" s="13"/>
      <c r="C779" s="45"/>
    </row>
    <row r="780" spans="1:3">
      <c r="A780" s="9"/>
      <c r="B780" s="13"/>
      <c r="C780" s="45"/>
    </row>
    <row r="781" spans="1:3">
      <c r="A781" s="9"/>
      <c r="B781" s="13"/>
      <c r="C781" s="45"/>
    </row>
    <row r="782" spans="1:3">
      <c r="A782" s="9"/>
      <c r="B782" s="13"/>
      <c r="C782" s="45"/>
    </row>
    <row r="783" spans="1:3">
      <c r="A783" s="9"/>
      <c r="B783" s="13"/>
      <c r="C783" s="45"/>
    </row>
    <row r="784" spans="1:3">
      <c r="A784" s="9"/>
      <c r="B784" s="13"/>
      <c r="C784" s="45"/>
    </row>
    <row r="785" spans="1:3">
      <c r="A785" s="9"/>
      <c r="B785" s="13"/>
      <c r="C785" s="45"/>
    </row>
    <row r="786" spans="1:3">
      <c r="A786" s="9"/>
      <c r="B786" s="13"/>
      <c r="C786" s="45"/>
    </row>
    <row r="787" spans="1:3">
      <c r="A787" s="9"/>
      <c r="B787" s="13"/>
      <c r="C787" s="45"/>
    </row>
    <row r="788" spans="1:3">
      <c r="A788" s="9"/>
      <c r="B788" s="13"/>
      <c r="C788" s="45"/>
    </row>
    <row r="789" spans="1:3">
      <c r="A789" s="9"/>
      <c r="B789" s="13"/>
      <c r="C789" s="45"/>
    </row>
    <row r="790" spans="1:3">
      <c r="A790" s="9"/>
      <c r="B790" s="13"/>
      <c r="C790" s="45"/>
    </row>
    <row r="791" spans="1:3">
      <c r="A791" s="9"/>
      <c r="B791" s="13"/>
      <c r="C791" s="45"/>
    </row>
    <row r="792" spans="1:3">
      <c r="A792" s="9"/>
      <c r="B792" s="13"/>
      <c r="C792" s="45"/>
    </row>
    <row r="793" spans="1:3">
      <c r="A793" s="9"/>
      <c r="B793" s="13"/>
      <c r="C793" s="45"/>
    </row>
    <row r="794" spans="1:3">
      <c r="A794" s="9"/>
      <c r="B794" s="13"/>
      <c r="C794" s="45"/>
    </row>
    <row r="795" spans="1:3">
      <c r="A795" s="9"/>
      <c r="B795" s="13"/>
      <c r="C795" s="45"/>
    </row>
    <row r="796" spans="1:3">
      <c r="A796" s="9"/>
      <c r="B796" s="13"/>
      <c r="C796" s="45"/>
    </row>
    <row r="797" spans="1:3">
      <c r="A797" s="9"/>
      <c r="B797" s="13"/>
      <c r="C797" s="45"/>
    </row>
    <row r="798" spans="1:3">
      <c r="A798" s="9"/>
      <c r="B798" s="13"/>
      <c r="C798" s="45"/>
    </row>
    <row r="799" spans="1:3">
      <c r="A799" s="9"/>
      <c r="B799" s="13"/>
      <c r="C799" s="45"/>
    </row>
    <row r="800" spans="1:3">
      <c r="A800" s="9"/>
      <c r="B800" s="13"/>
      <c r="C800" s="45"/>
    </row>
    <row r="801" spans="1:3">
      <c r="A801" s="9"/>
      <c r="B801" s="13"/>
      <c r="C801" s="45"/>
    </row>
    <row r="802" spans="1:3">
      <c r="A802" s="9"/>
      <c r="B802" s="13"/>
      <c r="C802" s="45"/>
    </row>
    <row r="803" spans="1:3">
      <c r="A803" s="9"/>
      <c r="B803" s="13"/>
      <c r="C803" s="45"/>
    </row>
    <row r="804" spans="1:3">
      <c r="A804" s="9"/>
      <c r="B804" s="13"/>
      <c r="C804" s="45"/>
    </row>
    <row r="805" spans="1:3">
      <c r="A805" s="9"/>
      <c r="B805" s="13"/>
      <c r="C805" s="45"/>
    </row>
    <row r="806" spans="1:3">
      <c r="A806" s="9"/>
      <c r="B806" s="13"/>
      <c r="C806" s="45"/>
    </row>
    <row r="807" spans="1:3">
      <c r="A807" s="9"/>
      <c r="B807" s="13"/>
      <c r="C807" s="45"/>
    </row>
    <row r="808" spans="1:3">
      <c r="A808" s="9"/>
      <c r="B808" s="13"/>
      <c r="C808" s="45"/>
    </row>
    <row r="809" spans="1:3">
      <c r="A809" s="9"/>
      <c r="B809" s="13"/>
      <c r="C809" s="45"/>
    </row>
    <row r="810" spans="1:3">
      <c r="A810" s="9"/>
      <c r="B810" s="13"/>
      <c r="C810" s="45"/>
    </row>
    <row r="811" spans="1:3">
      <c r="A811" s="9"/>
      <c r="B811" s="13"/>
      <c r="C811" s="45"/>
    </row>
    <row r="812" spans="1:3">
      <c r="A812" s="9"/>
      <c r="B812" s="13"/>
      <c r="C812" s="45"/>
    </row>
    <row r="813" spans="1:3">
      <c r="A813" s="9"/>
      <c r="B813" s="13"/>
      <c r="C813" s="45"/>
    </row>
    <row r="814" spans="1:3">
      <c r="A814" s="9"/>
      <c r="B814" s="13"/>
      <c r="C814" s="45"/>
    </row>
    <row r="815" spans="1:3">
      <c r="A815" s="9"/>
      <c r="B815" s="13"/>
      <c r="C815" s="45"/>
    </row>
    <row r="816" spans="1:3">
      <c r="A816" s="9"/>
      <c r="B816" s="13"/>
      <c r="C816" s="45"/>
    </row>
    <row r="817" spans="1:3">
      <c r="A817" s="9"/>
      <c r="B817" s="13"/>
      <c r="C817" s="45"/>
    </row>
    <row r="818" spans="1:3">
      <c r="A818" s="9"/>
      <c r="B818" s="13"/>
      <c r="C818" s="45"/>
    </row>
    <row r="819" spans="1:3">
      <c r="A819" s="9"/>
      <c r="B819" s="13"/>
      <c r="C819" s="45"/>
    </row>
    <row r="820" spans="1:3">
      <c r="A820" s="9"/>
      <c r="B820" s="13"/>
      <c r="C820" s="45"/>
    </row>
    <row r="821" spans="1:3">
      <c r="A821" s="9"/>
      <c r="B821" s="13"/>
      <c r="C821" s="45"/>
    </row>
    <row r="822" spans="1:3">
      <c r="A822" s="9"/>
      <c r="B822" s="13"/>
      <c r="C822" s="45"/>
    </row>
    <row r="823" spans="1:3">
      <c r="A823" s="9"/>
      <c r="B823" s="13"/>
      <c r="C823" s="45"/>
    </row>
    <row r="824" spans="1:3">
      <c r="A824" s="9"/>
      <c r="B824" s="13"/>
      <c r="C824" s="45"/>
    </row>
    <row r="825" spans="1:3">
      <c r="A825" s="9"/>
      <c r="B825" s="13"/>
      <c r="C825" s="45"/>
    </row>
    <row r="826" spans="1:3">
      <c r="A826" s="9"/>
      <c r="B826" s="13"/>
      <c r="C826" s="45"/>
    </row>
    <row r="827" spans="1:3">
      <c r="A827" s="9"/>
      <c r="B827" s="13"/>
      <c r="C827" s="45"/>
    </row>
    <row r="828" spans="1:3">
      <c r="A828" s="9"/>
      <c r="B828" s="13"/>
      <c r="C828" s="45"/>
    </row>
    <row r="829" spans="1:3">
      <c r="A829" s="9"/>
      <c r="B829" s="13"/>
      <c r="C829" s="45"/>
    </row>
    <row r="830" spans="1:3">
      <c r="A830" s="9"/>
      <c r="B830" s="13"/>
      <c r="C830" s="45"/>
    </row>
    <row r="831" spans="1:3">
      <c r="A831" s="9"/>
      <c r="B831" s="13"/>
      <c r="C831" s="45"/>
    </row>
    <row r="832" spans="1:3">
      <c r="A832" s="9"/>
      <c r="B832" s="13"/>
      <c r="C832" s="45"/>
    </row>
    <row r="833" spans="1:3">
      <c r="A833" s="9"/>
      <c r="B833" s="13"/>
      <c r="C833" s="45"/>
    </row>
    <row r="834" spans="1:3">
      <c r="A834" s="9"/>
      <c r="B834" s="13"/>
      <c r="C834" s="45"/>
    </row>
    <row r="835" spans="1:3">
      <c r="A835" s="9"/>
      <c r="B835" s="13"/>
      <c r="C835" s="45"/>
    </row>
    <row r="836" spans="1:3">
      <c r="A836" s="9"/>
      <c r="B836" s="13"/>
      <c r="C836" s="45"/>
    </row>
    <row r="837" spans="1:3">
      <c r="A837" s="9"/>
      <c r="B837" s="13"/>
      <c r="C837" s="45"/>
    </row>
    <row r="838" spans="1:3">
      <c r="A838" s="9"/>
      <c r="B838" s="13"/>
      <c r="C838" s="45"/>
    </row>
    <row r="839" spans="1:3">
      <c r="A839" s="9"/>
      <c r="B839" s="13"/>
      <c r="C839" s="45"/>
    </row>
    <row r="840" spans="1:3">
      <c r="A840" s="9"/>
      <c r="B840" s="13"/>
      <c r="C840" s="45"/>
    </row>
    <row r="841" spans="1:3">
      <c r="A841" s="9"/>
      <c r="B841" s="13"/>
      <c r="C841" s="45"/>
    </row>
    <row r="842" spans="1:3">
      <c r="A842" s="9"/>
      <c r="B842" s="13"/>
      <c r="C842" s="45"/>
    </row>
    <row r="843" spans="1:3">
      <c r="A843" s="9"/>
      <c r="B843" s="13"/>
      <c r="C843" s="45"/>
    </row>
    <row r="844" spans="1:3">
      <c r="A844" s="9"/>
      <c r="B844" s="13"/>
      <c r="C844" s="45"/>
    </row>
    <row r="845" spans="1:3">
      <c r="A845" s="9"/>
      <c r="B845" s="13"/>
      <c r="C845" s="45"/>
    </row>
    <row r="846" spans="1:3">
      <c r="A846" s="9"/>
      <c r="B846" s="13"/>
      <c r="C846" s="45"/>
    </row>
    <row r="847" spans="1:3">
      <c r="A847" s="9"/>
      <c r="B847" s="13"/>
      <c r="C847" s="45"/>
    </row>
    <row r="848" spans="1:3">
      <c r="A848" s="9"/>
      <c r="B848" s="13"/>
      <c r="C848" s="45"/>
    </row>
    <row r="849" spans="1:3">
      <c r="A849" s="9"/>
      <c r="B849" s="13"/>
      <c r="C849" s="45"/>
    </row>
    <row r="850" spans="1:3">
      <c r="A850" s="9"/>
      <c r="B850" s="13"/>
      <c r="C850" s="45"/>
    </row>
    <row r="851" spans="1:3">
      <c r="A851" s="9"/>
      <c r="B851" s="13"/>
      <c r="C851" s="45"/>
    </row>
    <row r="852" spans="1:3">
      <c r="A852" s="9"/>
      <c r="B852" s="13"/>
      <c r="C852" s="45"/>
    </row>
    <row r="853" spans="1:3">
      <c r="A853" s="9"/>
      <c r="B853" s="13"/>
      <c r="C853" s="45"/>
    </row>
    <row r="854" spans="1:3">
      <c r="A854" s="9"/>
      <c r="B854" s="13"/>
      <c r="C854" s="45"/>
    </row>
    <row r="855" spans="1:3">
      <c r="A855" s="9"/>
      <c r="B855" s="13"/>
      <c r="C855" s="45"/>
    </row>
    <row r="856" spans="1:3">
      <c r="A856" s="9"/>
      <c r="B856" s="13"/>
      <c r="C856" s="45"/>
    </row>
    <row r="857" spans="1:3">
      <c r="A857" s="9"/>
      <c r="B857" s="13"/>
      <c r="C857" s="45"/>
    </row>
    <row r="858" spans="1:3">
      <c r="A858" s="9"/>
      <c r="B858" s="13"/>
      <c r="C858" s="45"/>
    </row>
    <row r="859" spans="1:3">
      <c r="A859" s="9"/>
      <c r="B859" s="13"/>
      <c r="C859" s="45"/>
    </row>
    <row r="860" spans="1:3">
      <c r="A860" s="9"/>
      <c r="B860" s="13"/>
      <c r="C860" s="45"/>
    </row>
    <row r="861" spans="1:3">
      <c r="A861" s="9"/>
      <c r="B861" s="13"/>
      <c r="C861" s="45"/>
    </row>
    <row r="862" spans="1:3">
      <c r="A862" s="9"/>
      <c r="B862" s="13"/>
      <c r="C862" s="45"/>
    </row>
    <row r="863" spans="1:3">
      <c r="A863" s="9"/>
      <c r="B863" s="13"/>
      <c r="C863" s="45"/>
    </row>
    <row r="864" spans="1:3">
      <c r="A864" s="9"/>
      <c r="B864" s="13"/>
      <c r="C864" s="45"/>
    </row>
    <row r="865" spans="1:3">
      <c r="A865" s="9"/>
      <c r="B865" s="13"/>
      <c r="C865" s="45"/>
    </row>
    <row r="866" spans="1:3">
      <c r="A866" s="9"/>
      <c r="B866" s="13"/>
      <c r="C866" s="45"/>
    </row>
    <row r="867" spans="1:3">
      <c r="A867" s="9"/>
      <c r="B867" s="13"/>
      <c r="C867" s="45"/>
    </row>
    <row r="868" spans="1:3">
      <c r="A868" s="9"/>
      <c r="B868" s="13"/>
      <c r="C868" s="45"/>
    </row>
    <row r="869" spans="1:3">
      <c r="A869" s="9"/>
      <c r="B869" s="13"/>
      <c r="C869" s="45"/>
    </row>
    <row r="870" spans="1:3">
      <c r="A870" s="9"/>
      <c r="B870" s="13"/>
      <c r="C870" s="45"/>
    </row>
    <row r="871" spans="1:3">
      <c r="A871" s="9"/>
      <c r="B871" s="13"/>
      <c r="C871" s="45"/>
    </row>
    <row r="872" spans="1:3">
      <c r="A872" s="9"/>
      <c r="B872" s="13"/>
      <c r="C872" s="45"/>
    </row>
    <row r="873" spans="1:3">
      <c r="A873" s="9"/>
      <c r="B873" s="13"/>
      <c r="C873" s="45"/>
    </row>
    <row r="874" spans="1:3">
      <c r="A874" s="9"/>
      <c r="B874" s="13"/>
      <c r="C874" s="45"/>
    </row>
    <row r="875" spans="1:3">
      <c r="A875" s="9"/>
      <c r="B875" s="13"/>
      <c r="C875" s="45"/>
    </row>
    <row r="876" spans="1:3">
      <c r="A876" s="9"/>
      <c r="B876" s="13"/>
      <c r="C876" s="45"/>
    </row>
    <row r="877" spans="1:3">
      <c r="A877" s="9"/>
      <c r="B877" s="13"/>
      <c r="C877" s="45"/>
    </row>
    <row r="878" spans="1:3">
      <c r="A878" s="9"/>
      <c r="B878" s="13"/>
      <c r="C878" s="45"/>
    </row>
    <row r="879" spans="1:3">
      <c r="A879" s="9"/>
      <c r="B879" s="13"/>
      <c r="C879" s="45"/>
    </row>
    <row r="880" spans="1:3">
      <c r="A880" s="9"/>
      <c r="B880" s="13"/>
      <c r="C880" s="45"/>
    </row>
    <row r="881" spans="1:3">
      <c r="A881" s="9"/>
      <c r="B881" s="13"/>
      <c r="C881" s="45"/>
    </row>
    <row r="882" spans="1:3">
      <c r="A882" s="9"/>
      <c r="B882" s="13"/>
      <c r="C882" s="45"/>
    </row>
    <row r="883" spans="1:3">
      <c r="A883" s="9"/>
      <c r="B883" s="13"/>
      <c r="C883" s="45"/>
    </row>
    <row r="884" spans="1:3">
      <c r="A884" s="9"/>
      <c r="B884" s="13"/>
      <c r="C884" s="45"/>
    </row>
    <row r="885" spans="1:3">
      <c r="A885" s="9"/>
      <c r="B885" s="13"/>
      <c r="C885" s="45"/>
    </row>
    <row r="886" spans="1:3">
      <c r="A886" s="9"/>
      <c r="B886" s="13"/>
      <c r="C886" s="45"/>
    </row>
    <row r="887" spans="1:3">
      <c r="A887" s="9"/>
      <c r="B887" s="13"/>
      <c r="C887" s="45"/>
    </row>
    <row r="888" spans="1:3">
      <c r="A888" s="9"/>
      <c r="B888" s="13"/>
      <c r="C888" s="45"/>
    </row>
    <row r="889" spans="1:3">
      <c r="A889" s="9"/>
      <c r="B889" s="13"/>
      <c r="C889" s="45"/>
    </row>
    <row r="890" spans="1:3">
      <c r="A890" s="9"/>
      <c r="B890" s="13"/>
      <c r="C890" s="45"/>
    </row>
    <row r="891" spans="1:3">
      <c r="A891" s="9"/>
      <c r="B891" s="13"/>
      <c r="C891" s="45"/>
    </row>
    <row r="892" spans="1:3">
      <c r="A892" s="9"/>
      <c r="B892" s="13"/>
      <c r="C892" s="45"/>
    </row>
    <row r="893" spans="1:3">
      <c r="A893" s="9"/>
      <c r="B893" s="13"/>
      <c r="C893" s="45"/>
    </row>
    <row r="894" spans="1:3">
      <c r="A894" s="9"/>
      <c r="B894" s="13"/>
      <c r="C894" s="45"/>
    </row>
    <row r="895" spans="1:3">
      <c r="A895" s="9"/>
      <c r="B895" s="13"/>
      <c r="C895" s="45"/>
    </row>
    <row r="896" spans="1:3">
      <c r="A896" s="9"/>
      <c r="B896" s="13"/>
      <c r="C896" s="45"/>
    </row>
    <row r="897" spans="1:3">
      <c r="A897" s="9"/>
      <c r="B897" s="13"/>
      <c r="C897" s="45"/>
    </row>
    <row r="898" spans="1:3">
      <c r="A898" s="9"/>
      <c r="B898" s="13"/>
      <c r="C898" s="45"/>
    </row>
    <row r="899" spans="1:3">
      <c r="A899" s="9"/>
      <c r="B899" s="13"/>
      <c r="C899" s="45"/>
    </row>
    <row r="900" spans="1:3">
      <c r="A900" s="9"/>
      <c r="B900" s="13"/>
      <c r="C900" s="45"/>
    </row>
    <row r="901" spans="1:3">
      <c r="A901" s="9"/>
      <c r="B901" s="13"/>
      <c r="C901" s="45"/>
    </row>
    <row r="902" spans="1:3">
      <c r="A902" s="9"/>
      <c r="B902" s="13"/>
      <c r="C902" s="45"/>
    </row>
    <row r="903" spans="1:3">
      <c r="A903" s="9"/>
      <c r="B903" s="13"/>
      <c r="C903" s="45"/>
    </row>
    <row r="904" spans="1:3">
      <c r="A904" s="9"/>
      <c r="B904" s="13"/>
      <c r="C904" s="45"/>
    </row>
    <row r="905" spans="1:3">
      <c r="A905" s="9"/>
      <c r="B905" s="13"/>
      <c r="C905" s="45"/>
    </row>
    <row r="906" spans="1:3">
      <c r="A906" s="9"/>
      <c r="B906" s="13"/>
      <c r="C906" s="45"/>
    </row>
    <row r="907" spans="1:3">
      <c r="A907" s="9"/>
      <c r="B907" s="13"/>
      <c r="C907" s="45"/>
    </row>
    <row r="908" spans="1:3">
      <c r="A908" s="9"/>
      <c r="B908" s="13"/>
      <c r="C908" s="45"/>
    </row>
    <row r="909" spans="1:3">
      <c r="A909" s="9"/>
      <c r="B909" s="13"/>
      <c r="C909" s="45"/>
    </row>
    <row r="910" spans="1:3">
      <c r="A910" s="9"/>
      <c r="B910" s="13"/>
      <c r="C910" s="45"/>
    </row>
    <row r="911" spans="1:3">
      <c r="A911" s="9"/>
      <c r="B911" s="13"/>
      <c r="C911" s="45"/>
    </row>
    <row r="912" spans="1:3">
      <c r="A912" s="9"/>
      <c r="B912" s="13"/>
      <c r="C912" s="45"/>
    </row>
    <row r="913" spans="1:3">
      <c r="A913" s="9"/>
      <c r="B913" s="13"/>
      <c r="C913" s="45"/>
    </row>
    <row r="914" spans="1:3">
      <c r="A914" s="9"/>
      <c r="B914" s="13"/>
      <c r="C914" s="45"/>
    </row>
    <row r="915" spans="1:3">
      <c r="A915" s="9"/>
      <c r="B915" s="13"/>
      <c r="C915" s="45"/>
    </row>
    <row r="916" spans="1:3">
      <c r="A916" s="9"/>
      <c r="B916" s="13"/>
      <c r="C916" s="45"/>
    </row>
    <row r="917" spans="1:3">
      <c r="A917" s="9"/>
      <c r="B917" s="13"/>
      <c r="C917" s="45"/>
    </row>
    <row r="918" spans="1:3">
      <c r="A918" s="9"/>
      <c r="B918" s="13"/>
      <c r="C918" s="45"/>
    </row>
    <row r="919" spans="1:3">
      <c r="A919" s="9"/>
      <c r="B919" s="13"/>
      <c r="C919" s="45"/>
    </row>
    <row r="920" spans="1:3">
      <c r="A920" s="9"/>
      <c r="B920" s="13"/>
      <c r="C920" s="45"/>
    </row>
    <row r="921" spans="1:3">
      <c r="A921" s="9"/>
      <c r="B921" s="13"/>
      <c r="C921" s="45"/>
    </row>
    <row r="922" spans="1:3">
      <c r="A922" s="9"/>
      <c r="B922" s="13"/>
      <c r="C922" s="45"/>
    </row>
    <row r="923" spans="1:3">
      <c r="A923" s="9"/>
      <c r="B923" s="13"/>
      <c r="C923" s="45"/>
    </row>
    <row r="924" spans="1:3">
      <c r="A924" s="9"/>
      <c r="B924" s="13"/>
      <c r="C924" s="45"/>
    </row>
    <row r="925" spans="1:3">
      <c r="A925" s="9"/>
      <c r="B925" s="13"/>
      <c r="C925" s="45"/>
    </row>
    <row r="926" spans="1:3">
      <c r="A926" s="9"/>
      <c r="B926" s="13"/>
      <c r="C926" s="45"/>
    </row>
    <row r="927" spans="1:3">
      <c r="A927" s="9"/>
      <c r="B927" s="13"/>
      <c r="C927" s="45"/>
    </row>
    <row r="928" spans="1:3">
      <c r="A928" s="9"/>
      <c r="B928" s="13"/>
      <c r="C928" s="45"/>
    </row>
    <row r="929" spans="1:3">
      <c r="A929" s="9"/>
      <c r="B929" s="13"/>
      <c r="C929" s="45"/>
    </row>
    <row r="930" spans="1:3">
      <c r="A930" s="9"/>
      <c r="B930" s="13"/>
      <c r="C930" s="45"/>
    </row>
    <row r="931" spans="1:3">
      <c r="A931" s="9"/>
      <c r="B931" s="13"/>
      <c r="C931" s="45"/>
    </row>
    <row r="932" spans="1:3">
      <c r="A932" s="9"/>
      <c r="B932" s="13"/>
      <c r="C932" s="45"/>
    </row>
    <row r="933" spans="1:3">
      <c r="A933" s="9"/>
      <c r="B933" s="13"/>
      <c r="C933" s="45"/>
    </row>
    <row r="934" spans="1:3">
      <c r="A934" s="9"/>
      <c r="B934" s="13"/>
      <c r="C934" s="45"/>
    </row>
    <row r="935" spans="1:3">
      <c r="A935" s="9"/>
      <c r="B935" s="13"/>
      <c r="C935" s="45"/>
    </row>
    <row r="936" spans="1:3">
      <c r="A936" s="9"/>
      <c r="B936" s="13"/>
      <c r="C936" s="45"/>
    </row>
    <row r="937" spans="1:3">
      <c r="A937" s="9"/>
      <c r="B937" s="13"/>
      <c r="C937" s="45"/>
    </row>
    <row r="938" spans="1:3">
      <c r="A938" s="9"/>
      <c r="B938" s="13"/>
      <c r="C938" s="45"/>
    </row>
    <row r="939" spans="1:3">
      <c r="A939" s="9"/>
      <c r="B939" s="13"/>
      <c r="C939" s="45"/>
    </row>
    <row r="940" spans="1:3">
      <c r="A940" s="9"/>
      <c r="B940" s="13"/>
      <c r="C940" s="45"/>
    </row>
    <row r="941" spans="1:3">
      <c r="A941" s="9"/>
      <c r="B941" s="13"/>
      <c r="C941" s="45"/>
    </row>
    <row r="942" spans="1:3">
      <c r="A942" s="9"/>
      <c r="B942" s="13"/>
      <c r="C942" s="45"/>
    </row>
    <row r="943" spans="1:3">
      <c r="A943" s="9"/>
      <c r="B943" s="13"/>
      <c r="C943" s="45"/>
    </row>
    <row r="944" spans="1:3">
      <c r="A944" s="9"/>
      <c r="B944" s="13"/>
      <c r="C944" s="45"/>
    </row>
    <row r="945" spans="1:3">
      <c r="A945" s="9"/>
      <c r="B945" s="13"/>
      <c r="C945" s="45"/>
    </row>
    <row r="946" spans="1:3">
      <c r="A946" s="9"/>
      <c r="B946" s="13"/>
      <c r="C946" s="45"/>
    </row>
    <row r="947" spans="1:3">
      <c r="A947" s="9"/>
      <c r="B947" s="13"/>
      <c r="C947" s="45"/>
    </row>
    <row r="948" spans="1:3">
      <c r="A948" s="9"/>
      <c r="B948" s="13"/>
      <c r="C948" s="45"/>
    </row>
    <row r="949" spans="1:3">
      <c r="A949" s="9"/>
      <c r="B949" s="13"/>
      <c r="C949" s="45"/>
    </row>
    <row r="950" spans="1:3">
      <c r="A950" s="9"/>
      <c r="B950" s="13"/>
      <c r="C950" s="45"/>
    </row>
    <row r="951" spans="1:3">
      <c r="A951" s="9"/>
      <c r="B951" s="13"/>
      <c r="C951" s="45"/>
    </row>
    <row r="952" spans="1:3">
      <c r="A952" s="9"/>
      <c r="B952" s="13"/>
      <c r="C952" s="45"/>
    </row>
    <row r="953" spans="1:3">
      <c r="A953" s="9"/>
      <c r="B953" s="13"/>
      <c r="C953" s="45"/>
    </row>
    <row r="954" spans="1:3">
      <c r="A954" s="9"/>
      <c r="B954" s="13"/>
      <c r="C954" s="45"/>
    </row>
    <row r="955" spans="1:3">
      <c r="A955" s="9"/>
      <c r="B955" s="13"/>
      <c r="C955" s="45"/>
    </row>
    <row r="956" spans="1:3">
      <c r="A956" s="9"/>
      <c r="B956" s="13"/>
      <c r="C956" s="45"/>
    </row>
    <row r="957" spans="1:3">
      <c r="A957" s="9"/>
      <c r="B957" s="13"/>
      <c r="C957" s="45"/>
    </row>
    <row r="958" spans="1:3">
      <c r="A958" s="9"/>
      <c r="B958" s="13"/>
      <c r="C958" s="45"/>
    </row>
    <row r="959" spans="1:3">
      <c r="A959" s="9"/>
      <c r="B959" s="13"/>
      <c r="C959" s="45"/>
    </row>
    <row r="960" spans="1:3">
      <c r="A960" s="9"/>
      <c r="B960" s="13"/>
      <c r="C960" s="45"/>
    </row>
    <row r="961" spans="1:3">
      <c r="A961" s="9"/>
      <c r="B961" s="13"/>
      <c r="C961" s="45"/>
    </row>
    <row r="962" spans="1:3">
      <c r="A962" s="9"/>
      <c r="B962" s="13"/>
      <c r="C962" s="45"/>
    </row>
    <row r="963" spans="1:3">
      <c r="A963" s="9"/>
      <c r="B963" s="13"/>
      <c r="C963" s="45"/>
    </row>
    <row r="964" spans="1:3">
      <c r="A964" s="9"/>
      <c r="B964" s="13"/>
      <c r="C964" s="45"/>
    </row>
    <row r="965" spans="1:3">
      <c r="A965" s="9"/>
      <c r="B965" s="13"/>
      <c r="C965" s="45"/>
    </row>
    <row r="966" spans="1:3">
      <c r="A966" s="9"/>
      <c r="B966" s="13"/>
      <c r="C966" s="45"/>
    </row>
    <row r="967" spans="1:3">
      <c r="A967" s="9"/>
      <c r="B967" s="13"/>
      <c r="C967" s="45"/>
    </row>
    <row r="968" spans="1:3">
      <c r="A968" s="9"/>
      <c r="B968" s="13"/>
      <c r="C968" s="45"/>
    </row>
    <row r="969" spans="1:3">
      <c r="A969" s="9"/>
      <c r="B969" s="13"/>
      <c r="C969" s="45"/>
    </row>
    <row r="970" spans="1:3">
      <c r="A970" s="9"/>
      <c r="B970" s="13"/>
      <c r="C970" s="45"/>
    </row>
    <row r="971" spans="1:3">
      <c r="A971" s="9"/>
      <c r="B971" s="13"/>
      <c r="C971" s="45"/>
    </row>
    <row r="972" spans="1:3">
      <c r="A972" s="9"/>
      <c r="B972" s="13"/>
      <c r="C972" s="45"/>
    </row>
    <row r="973" spans="1:3">
      <c r="A973" s="9"/>
      <c r="B973" s="13"/>
      <c r="C973" s="45"/>
    </row>
    <row r="974" spans="1:3">
      <c r="A974" s="9"/>
      <c r="B974" s="13"/>
      <c r="C974" s="45"/>
    </row>
    <row r="975" spans="1:3">
      <c r="A975" s="9"/>
      <c r="B975" s="13"/>
      <c r="C975" s="45"/>
    </row>
    <row r="976" spans="1:3">
      <c r="A976" s="9"/>
      <c r="B976" s="13"/>
      <c r="C976" s="45"/>
    </row>
    <row r="977" spans="1:3">
      <c r="A977" s="9"/>
      <c r="B977" s="13"/>
      <c r="C977" s="45"/>
    </row>
    <row r="978" spans="1:3">
      <c r="A978" s="9"/>
      <c r="B978" s="13"/>
      <c r="C978" s="45"/>
    </row>
    <row r="979" spans="1:3">
      <c r="A979" s="9"/>
      <c r="B979" s="13"/>
      <c r="C979" s="45"/>
    </row>
    <row r="980" spans="1:3">
      <c r="A980" s="9"/>
      <c r="B980" s="13"/>
      <c r="C980" s="45"/>
    </row>
    <row r="981" spans="1:3">
      <c r="A981" s="9"/>
      <c r="B981" s="13"/>
      <c r="C981" s="45"/>
    </row>
    <row r="982" spans="1:3">
      <c r="A982" s="9"/>
      <c r="B982" s="13"/>
      <c r="C982" s="45"/>
    </row>
    <row r="983" spans="1:3">
      <c r="A983" s="9"/>
      <c r="B983" s="13"/>
      <c r="C983" s="45"/>
    </row>
    <row r="984" spans="1:3">
      <c r="A984" s="9"/>
      <c r="B984" s="13"/>
      <c r="C984" s="45"/>
    </row>
    <row r="985" spans="1:3">
      <c r="A985" s="9"/>
      <c r="B985" s="13"/>
      <c r="C985" s="45"/>
    </row>
    <row r="986" spans="1:3">
      <c r="A986" s="9"/>
      <c r="B986" s="13"/>
      <c r="C986" s="45"/>
    </row>
    <row r="987" spans="1:3">
      <c r="A987" s="9"/>
      <c r="B987" s="13"/>
      <c r="C987" s="45"/>
    </row>
    <row r="988" spans="1:3">
      <c r="A988" s="9"/>
      <c r="B988" s="13"/>
      <c r="C988" s="45"/>
    </row>
    <row r="989" spans="1:3">
      <c r="A989" s="9"/>
      <c r="B989" s="13"/>
      <c r="C989" s="45"/>
    </row>
    <row r="990" spans="1:3">
      <c r="A990" s="9"/>
      <c r="B990" s="13"/>
      <c r="C990" s="45"/>
    </row>
    <row r="991" spans="1:3">
      <c r="A991" s="9"/>
      <c r="B991" s="13"/>
      <c r="C991" s="45"/>
    </row>
    <row r="992" spans="1:3">
      <c r="A992" s="9"/>
      <c r="B992" s="13"/>
      <c r="C992" s="45"/>
    </row>
    <row r="993" spans="1:3">
      <c r="A993" s="9"/>
      <c r="B993" s="13"/>
      <c r="C993" s="45"/>
    </row>
    <row r="994" spans="1:3">
      <c r="A994" s="9"/>
      <c r="B994" s="13"/>
      <c r="C994" s="45"/>
    </row>
    <row r="995" spans="1:3">
      <c r="A995" s="9"/>
      <c r="B995" s="13"/>
      <c r="C995" s="45"/>
    </row>
    <row r="996" spans="1:3">
      <c r="A996" s="9"/>
      <c r="B996" s="13"/>
      <c r="C996" s="45"/>
    </row>
    <row r="997" spans="1:3">
      <c r="A997" s="9"/>
      <c r="B997" s="13"/>
      <c r="C997" s="45"/>
    </row>
    <row r="998" spans="1:3">
      <c r="A998" s="9"/>
      <c r="B998" s="13"/>
      <c r="C998" s="45"/>
    </row>
    <row r="999" spans="1:3">
      <c r="A999" s="9"/>
      <c r="B999" s="13"/>
      <c r="C999" s="45"/>
    </row>
    <row r="1000" spans="1:3">
      <c r="A1000" s="9"/>
      <c r="B1000" s="13"/>
      <c r="C1000" s="45"/>
    </row>
    <row r="1001" spans="1:3">
      <c r="A1001" s="9"/>
      <c r="B1001" s="13"/>
      <c r="C1001" s="45"/>
    </row>
    <row r="1002" spans="1:3">
      <c r="A1002" s="9"/>
      <c r="B1002" s="13"/>
      <c r="C1002" s="45"/>
    </row>
    <row r="1003" spans="1:3">
      <c r="A1003" s="9"/>
      <c r="B1003" s="13"/>
      <c r="C1003" s="45"/>
    </row>
    <row r="1004" spans="1:3">
      <c r="A1004" s="9"/>
      <c r="B1004" s="13"/>
      <c r="C1004" s="45"/>
    </row>
    <row r="1005" spans="1:3">
      <c r="A1005" s="9"/>
      <c r="B1005" s="13"/>
      <c r="C1005" s="45"/>
    </row>
    <row r="1006" spans="1:3">
      <c r="A1006" s="9"/>
      <c r="B1006" s="13"/>
      <c r="C1006" s="45"/>
    </row>
    <row r="1007" spans="1:3">
      <c r="A1007" s="9"/>
      <c r="B1007" s="13"/>
      <c r="C1007" s="45"/>
    </row>
    <row r="1008" spans="1:3">
      <c r="A1008" s="9"/>
      <c r="B1008" s="13"/>
      <c r="C1008" s="45"/>
    </row>
    <row r="1009" spans="1:3">
      <c r="A1009" s="9"/>
      <c r="B1009" s="13"/>
      <c r="C1009" s="45"/>
    </row>
    <row r="1010" spans="1:3">
      <c r="A1010" s="9"/>
      <c r="B1010" s="13"/>
      <c r="C1010" s="45"/>
    </row>
    <row r="1011" spans="1:3">
      <c r="A1011" s="9"/>
      <c r="B1011" s="13"/>
      <c r="C1011" s="45"/>
    </row>
    <row r="1012" spans="1:3">
      <c r="A1012" s="9"/>
      <c r="B1012" s="13"/>
      <c r="C1012" s="45"/>
    </row>
    <row r="1013" spans="1:3">
      <c r="A1013" s="9"/>
      <c r="B1013" s="13"/>
      <c r="C1013" s="45"/>
    </row>
    <row r="1014" spans="1:3">
      <c r="A1014" s="9"/>
      <c r="B1014" s="13"/>
      <c r="C1014" s="45"/>
    </row>
    <row r="1015" spans="1:3">
      <c r="A1015" s="9"/>
      <c r="B1015" s="13"/>
      <c r="C1015" s="45"/>
    </row>
    <row r="1016" spans="1:3">
      <c r="A1016" s="9"/>
      <c r="B1016" s="13"/>
      <c r="C1016" s="45"/>
    </row>
    <row r="1017" spans="1:3">
      <c r="A1017" s="9"/>
      <c r="B1017" s="13"/>
      <c r="C1017" s="45"/>
    </row>
    <row r="1018" spans="1:3">
      <c r="A1018" s="9"/>
      <c r="B1018" s="13"/>
      <c r="C1018" s="45"/>
    </row>
    <row r="1019" spans="1:3">
      <c r="A1019" s="9"/>
      <c r="B1019" s="13"/>
      <c r="C1019" s="45"/>
    </row>
    <row r="1020" spans="1:3">
      <c r="A1020" s="9"/>
      <c r="B1020" s="13"/>
      <c r="C1020" s="45"/>
    </row>
    <row r="1021" spans="1:3">
      <c r="A1021" s="9"/>
      <c r="B1021" s="13"/>
      <c r="C1021" s="45"/>
    </row>
    <row r="1022" spans="1:3">
      <c r="A1022" s="9"/>
      <c r="B1022" s="13"/>
      <c r="C1022" s="45"/>
    </row>
    <row r="1023" spans="1:3">
      <c r="A1023" s="9"/>
      <c r="B1023" s="13"/>
      <c r="C1023" s="45"/>
    </row>
    <row r="1024" spans="1:3">
      <c r="A1024" s="9"/>
      <c r="B1024" s="13"/>
      <c r="C1024" s="45"/>
    </row>
    <row r="1025" spans="1:3">
      <c r="A1025" s="9"/>
      <c r="B1025" s="13"/>
      <c r="C1025" s="45"/>
    </row>
    <row r="1026" spans="1:3">
      <c r="A1026" s="9"/>
      <c r="B1026" s="13"/>
      <c r="C1026" s="45"/>
    </row>
    <row r="1027" spans="1:3">
      <c r="A1027" s="9"/>
      <c r="B1027" s="13"/>
      <c r="C1027" s="45"/>
    </row>
    <row r="1028" spans="1:3">
      <c r="A1028" s="9"/>
      <c r="B1028" s="13"/>
      <c r="C1028" s="45"/>
    </row>
    <row r="1029" spans="1:3">
      <c r="A1029" s="9"/>
      <c r="B1029" s="13"/>
      <c r="C1029" s="45"/>
    </row>
    <row r="1030" spans="1:3">
      <c r="A1030" s="9"/>
      <c r="B1030" s="13"/>
      <c r="C1030" s="45"/>
    </row>
    <row r="1031" spans="1:3">
      <c r="A1031" s="9"/>
      <c r="B1031" s="13"/>
      <c r="C1031" s="45"/>
    </row>
    <row r="1032" spans="1:3">
      <c r="A1032" s="9"/>
      <c r="B1032" s="13"/>
      <c r="C1032" s="45"/>
    </row>
    <row r="1033" spans="1:3">
      <c r="A1033" s="9"/>
      <c r="B1033" s="13"/>
      <c r="C1033" s="45"/>
    </row>
    <row r="1034" spans="1:3">
      <c r="A1034" s="9"/>
      <c r="B1034" s="13"/>
      <c r="C1034" s="45"/>
    </row>
    <row r="1035" spans="1:3">
      <c r="A1035" s="9"/>
      <c r="B1035" s="13"/>
      <c r="C1035" s="45"/>
    </row>
    <row r="1036" spans="1:3">
      <c r="A1036" s="9"/>
      <c r="B1036" s="13"/>
      <c r="C1036" s="45"/>
    </row>
    <row r="1037" spans="1:3">
      <c r="A1037" s="9"/>
      <c r="B1037" s="13"/>
      <c r="C1037" s="45"/>
    </row>
    <row r="1038" spans="1:3">
      <c r="A1038" s="9"/>
      <c r="B1038" s="13"/>
      <c r="C1038" s="45"/>
    </row>
    <row r="1039" spans="1:3">
      <c r="A1039" s="9"/>
      <c r="B1039" s="13"/>
      <c r="C1039" s="45"/>
    </row>
    <row r="1040" spans="1:3">
      <c r="A1040" s="9"/>
      <c r="B1040" s="13"/>
      <c r="C1040" s="45"/>
    </row>
    <row r="1041" spans="1:3">
      <c r="A1041" s="9"/>
      <c r="B1041" s="13"/>
      <c r="C1041" s="45"/>
    </row>
    <row r="1042" spans="1:3">
      <c r="A1042" s="9"/>
      <c r="B1042" s="13"/>
      <c r="C1042" s="45"/>
    </row>
    <row r="1043" spans="1:3">
      <c r="A1043" s="9"/>
      <c r="B1043" s="13"/>
      <c r="C1043" s="45"/>
    </row>
    <row r="1044" spans="1:3">
      <c r="A1044" s="9"/>
      <c r="B1044" s="13"/>
      <c r="C1044" s="45"/>
    </row>
    <row r="1045" spans="1:3">
      <c r="A1045" s="9"/>
      <c r="B1045" s="13"/>
      <c r="C1045" s="45"/>
    </row>
    <row r="1046" spans="1:3">
      <c r="A1046" s="9"/>
      <c r="B1046" s="13"/>
      <c r="C1046" s="45"/>
    </row>
    <row r="1047" spans="1:3">
      <c r="A1047" s="9"/>
      <c r="B1047" s="13"/>
      <c r="C1047" s="45"/>
    </row>
    <row r="1048" spans="1:3">
      <c r="A1048" s="9"/>
      <c r="B1048" s="13"/>
      <c r="C1048" s="45"/>
    </row>
    <row r="1049" spans="1:3">
      <c r="A1049" s="9"/>
      <c r="B1049" s="13"/>
      <c r="C1049" s="45"/>
    </row>
    <row r="1050" spans="1:3">
      <c r="A1050" s="9"/>
      <c r="B1050" s="13"/>
      <c r="C1050" s="45"/>
    </row>
    <row r="1051" spans="1:3">
      <c r="A1051" s="9"/>
      <c r="B1051" s="13"/>
      <c r="C1051" s="45"/>
    </row>
    <row r="1052" spans="1:3">
      <c r="A1052" s="9"/>
      <c r="B1052" s="13"/>
      <c r="C1052" s="45"/>
    </row>
    <row r="1053" spans="1:3">
      <c r="A1053" s="9"/>
      <c r="B1053" s="13"/>
      <c r="C1053" s="45"/>
    </row>
    <row r="1054" spans="1:3">
      <c r="A1054" s="9"/>
      <c r="B1054" s="13"/>
      <c r="C1054" s="45"/>
    </row>
    <row r="1055" spans="1:3">
      <c r="A1055" s="9"/>
      <c r="B1055" s="13"/>
      <c r="C1055" s="45"/>
    </row>
    <row r="1056" spans="1:3">
      <c r="A1056" s="9"/>
      <c r="B1056" s="13"/>
      <c r="C1056" s="45"/>
    </row>
    <row r="1057" spans="1:3">
      <c r="A1057" s="9"/>
      <c r="B1057" s="13"/>
      <c r="C1057" s="45"/>
    </row>
    <row r="1058" spans="1:3">
      <c r="A1058" s="9"/>
      <c r="B1058" s="13"/>
      <c r="C1058" s="45"/>
    </row>
    <row r="1059" spans="1:3">
      <c r="A1059" s="9"/>
      <c r="B1059" s="13"/>
      <c r="C1059" s="45"/>
    </row>
    <row r="1060" spans="1:3">
      <c r="A1060" s="9"/>
      <c r="B1060" s="13"/>
      <c r="C1060" s="45"/>
    </row>
    <row r="1061" spans="1:3">
      <c r="A1061" s="9"/>
      <c r="B1061" s="13"/>
      <c r="C1061" s="45"/>
    </row>
    <row r="1062" spans="1:3">
      <c r="A1062" s="9"/>
      <c r="B1062" s="13"/>
      <c r="C1062" s="45"/>
    </row>
    <row r="1063" spans="1:3">
      <c r="A1063" s="9"/>
      <c r="B1063" s="13"/>
      <c r="C1063" s="45"/>
    </row>
    <row r="1064" spans="1:3">
      <c r="A1064" s="9"/>
      <c r="B1064" s="13"/>
      <c r="C1064" s="45"/>
    </row>
    <row r="1065" spans="1:3">
      <c r="A1065" s="9"/>
      <c r="B1065" s="13"/>
      <c r="C1065" s="45"/>
    </row>
    <row r="1066" spans="1:3">
      <c r="A1066" s="9"/>
      <c r="B1066" s="13"/>
      <c r="C1066" s="45"/>
    </row>
    <row r="1067" spans="1:3">
      <c r="A1067" s="9"/>
      <c r="B1067" s="13"/>
      <c r="C1067" s="45"/>
    </row>
    <row r="1068" spans="1:3">
      <c r="A1068" s="9"/>
      <c r="B1068" s="13"/>
      <c r="C1068" s="45"/>
    </row>
    <row r="1069" spans="1:3">
      <c r="A1069" s="9"/>
      <c r="B1069" s="13"/>
      <c r="C1069" s="45"/>
    </row>
    <row r="1070" spans="1:3">
      <c r="A1070" s="9"/>
      <c r="B1070" s="13"/>
      <c r="C1070" s="45"/>
    </row>
    <row r="1071" spans="1:3">
      <c r="A1071" s="9"/>
      <c r="B1071" s="13"/>
      <c r="C1071" s="45"/>
    </row>
    <row r="1072" spans="1:3">
      <c r="A1072" s="9"/>
      <c r="B1072" s="13"/>
      <c r="C1072" s="45"/>
    </row>
    <row r="1073" spans="1:3">
      <c r="A1073" s="9"/>
      <c r="B1073" s="13"/>
      <c r="C1073" s="45"/>
    </row>
    <row r="1074" spans="1:3">
      <c r="A1074" s="9"/>
      <c r="B1074" s="13"/>
      <c r="C1074" s="45"/>
    </row>
    <row r="1075" spans="1:3">
      <c r="A1075" s="9"/>
      <c r="B1075" s="13"/>
      <c r="C1075" s="45"/>
    </row>
    <row r="1076" spans="1:3">
      <c r="A1076" s="9"/>
      <c r="B1076" s="13"/>
      <c r="C1076" s="45"/>
    </row>
    <row r="1077" spans="1:3">
      <c r="A1077" s="9"/>
      <c r="B1077" s="13"/>
      <c r="C1077" s="45"/>
    </row>
    <row r="1078" spans="1:3">
      <c r="A1078" s="9"/>
      <c r="B1078" s="13"/>
      <c r="C1078" s="45"/>
    </row>
    <row r="1079" spans="1:3">
      <c r="A1079" s="9"/>
      <c r="B1079" s="13"/>
      <c r="C1079" s="45"/>
    </row>
    <row r="1080" spans="1:3">
      <c r="A1080" s="9"/>
      <c r="B1080" s="13"/>
      <c r="C1080" s="45"/>
    </row>
    <row r="1081" spans="1:3">
      <c r="A1081" s="9"/>
      <c r="B1081" s="13"/>
      <c r="C1081" s="45"/>
    </row>
    <row r="1082" spans="1:3">
      <c r="A1082" s="9"/>
      <c r="B1082" s="13"/>
      <c r="C1082" s="45"/>
    </row>
    <row r="1083" spans="1:3">
      <c r="A1083" s="9"/>
      <c r="B1083" s="13"/>
      <c r="C1083" s="45"/>
    </row>
    <row r="1084" spans="1:3">
      <c r="A1084" s="9"/>
      <c r="B1084" s="13"/>
      <c r="C1084" s="45"/>
    </row>
    <row r="1085" spans="1:3">
      <c r="A1085" s="9"/>
      <c r="B1085" s="13"/>
      <c r="C1085" s="45"/>
    </row>
    <row r="1086" spans="1:3">
      <c r="A1086" s="9"/>
      <c r="B1086" s="13"/>
      <c r="C1086" s="45"/>
    </row>
    <row r="1087" spans="1:3">
      <c r="A1087" s="9"/>
      <c r="B1087" s="13"/>
      <c r="C1087" s="45"/>
    </row>
    <row r="1088" spans="1:3">
      <c r="A1088" s="9"/>
      <c r="B1088" s="13"/>
      <c r="C1088" s="45"/>
    </row>
    <row r="1089" spans="1:3">
      <c r="A1089" s="9"/>
      <c r="B1089" s="13"/>
      <c r="C1089" s="45"/>
    </row>
    <row r="1090" spans="1:3">
      <c r="A1090" s="9"/>
      <c r="B1090" s="13"/>
      <c r="C1090" s="45"/>
    </row>
    <row r="1091" spans="1:3">
      <c r="A1091" s="9"/>
      <c r="B1091" s="13"/>
      <c r="C1091" s="45"/>
    </row>
    <row r="1092" spans="1:3">
      <c r="A1092" s="9"/>
      <c r="B1092" s="13"/>
      <c r="C1092" s="45"/>
    </row>
    <row r="1093" spans="1:3">
      <c r="A1093" s="9"/>
      <c r="B1093" s="13"/>
      <c r="C1093" s="45"/>
    </row>
    <row r="1094" spans="1:3">
      <c r="A1094" s="9"/>
      <c r="B1094" s="13"/>
      <c r="C1094" s="45"/>
    </row>
    <row r="1095" spans="1:3">
      <c r="A1095" s="9"/>
      <c r="B1095" s="13"/>
      <c r="C1095" s="45"/>
    </row>
    <row r="1096" spans="1:3">
      <c r="A1096" s="9"/>
      <c r="B1096" s="13"/>
      <c r="C1096" s="45"/>
    </row>
    <row r="1097" spans="1:3">
      <c r="A1097" s="9"/>
      <c r="B1097" s="13"/>
      <c r="C1097" s="45"/>
    </row>
    <row r="1098" spans="1:3">
      <c r="A1098" s="9"/>
      <c r="B1098" s="13"/>
      <c r="C1098" s="45"/>
    </row>
    <row r="1099" spans="1:3">
      <c r="A1099" s="9"/>
      <c r="B1099" s="13"/>
      <c r="C1099" s="45"/>
    </row>
    <row r="1100" spans="1:3">
      <c r="A1100" s="9"/>
      <c r="B1100" s="13"/>
      <c r="C1100" s="45"/>
    </row>
    <row r="1101" spans="1:3">
      <c r="A1101" s="9"/>
      <c r="B1101" s="13"/>
      <c r="C1101" s="45"/>
    </row>
    <row r="1102" spans="1:3">
      <c r="A1102" s="9"/>
      <c r="B1102" s="13"/>
      <c r="C1102" s="45"/>
    </row>
    <row r="1103" spans="1:3">
      <c r="A1103" s="9"/>
      <c r="B1103" s="13"/>
      <c r="C1103" s="45"/>
    </row>
    <row r="1104" spans="1:3">
      <c r="A1104" s="9"/>
      <c r="B1104" s="13"/>
      <c r="C1104" s="45"/>
    </row>
    <row r="1105" spans="1:3">
      <c r="A1105" s="9"/>
      <c r="B1105" s="13"/>
      <c r="C1105" s="45"/>
    </row>
    <row r="1106" spans="1:3">
      <c r="A1106" s="9"/>
      <c r="B1106" s="13"/>
      <c r="C1106" s="45"/>
    </row>
    <row r="1107" spans="1:3">
      <c r="A1107" s="9"/>
      <c r="B1107" s="13"/>
      <c r="C1107" s="45"/>
    </row>
    <row r="1108" spans="1:3">
      <c r="A1108" s="9"/>
      <c r="B1108" s="13"/>
      <c r="C1108" s="45"/>
    </row>
    <row r="1109" spans="1:3">
      <c r="A1109" s="9"/>
      <c r="B1109" s="13"/>
      <c r="C1109" s="45"/>
    </row>
    <row r="1110" spans="1:3">
      <c r="A1110" s="9"/>
      <c r="B1110" s="13"/>
      <c r="C1110" s="45"/>
    </row>
    <row r="1111" spans="1:3">
      <c r="A1111" s="9"/>
      <c r="B1111" s="13"/>
      <c r="C1111" s="45"/>
    </row>
    <row r="1112" spans="1:3">
      <c r="A1112" s="9"/>
      <c r="B1112" s="13"/>
      <c r="C1112" s="45"/>
    </row>
    <row r="1113" spans="1:3">
      <c r="A1113" s="9"/>
      <c r="B1113" s="13"/>
      <c r="C1113" s="45"/>
    </row>
    <row r="1114" spans="1:3">
      <c r="A1114" s="9"/>
      <c r="B1114" s="13"/>
      <c r="C1114" s="45"/>
    </row>
    <row r="1115" spans="1:3">
      <c r="A1115" s="9"/>
      <c r="B1115" s="13"/>
      <c r="C1115" s="45"/>
    </row>
    <row r="1116" spans="1:3">
      <c r="A1116" s="9"/>
      <c r="B1116" s="13"/>
      <c r="C1116" s="45"/>
    </row>
    <row r="1117" spans="1:3">
      <c r="A1117" s="9"/>
      <c r="B1117" s="13"/>
      <c r="C1117" s="45"/>
    </row>
    <row r="1118" spans="1:3">
      <c r="A1118" s="9"/>
      <c r="B1118" s="13"/>
      <c r="C1118" s="45"/>
    </row>
    <row r="1119" spans="1:3">
      <c r="A1119" s="9"/>
      <c r="B1119" s="13"/>
      <c r="C1119" s="45"/>
    </row>
    <row r="1120" spans="1:3">
      <c r="A1120" s="9"/>
      <c r="B1120" s="13"/>
      <c r="C1120" s="45"/>
    </row>
    <row r="1121" spans="1:3">
      <c r="A1121" s="9"/>
      <c r="B1121" s="13"/>
      <c r="C1121" s="45"/>
    </row>
    <row r="1122" spans="1:3">
      <c r="A1122" s="9"/>
      <c r="B1122" s="13"/>
      <c r="C1122" s="45"/>
    </row>
    <row r="1123" spans="1:3">
      <c r="A1123" s="9"/>
      <c r="B1123" s="13"/>
      <c r="C1123" s="45"/>
    </row>
    <row r="1124" spans="1:3">
      <c r="A1124" s="9"/>
      <c r="B1124" s="13"/>
      <c r="C1124" s="45"/>
    </row>
    <row r="1125" spans="1:3">
      <c r="A1125" s="9"/>
      <c r="B1125" s="13"/>
      <c r="C1125" s="45"/>
    </row>
    <row r="1126" spans="1:3">
      <c r="A1126" s="9"/>
      <c r="B1126" s="13"/>
      <c r="C1126" s="45"/>
    </row>
    <row r="1127" spans="1:3">
      <c r="A1127" s="9"/>
      <c r="B1127" s="13"/>
      <c r="C1127" s="45"/>
    </row>
    <row r="1128" spans="1:3">
      <c r="A1128" s="9"/>
      <c r="B1128" s="13"/>
      <c r="C1128" s="45"/>
    </row>
    <row r="1129" spans="1:3">
      <c r="A1129" s="9"/>
      <c r="B1129" s="13"/>
      <c r="C1129" s="45"/>
    </row>
    <row r="1130" spans="1:3">
      <c r="A1130" s="9"/>
      <c r="B1130" s="13"/>
      <c r="C1130" s="45"/>
    </row>
    <row r="1131" spans="1:3">
      <c r="A1131" s="9"/>
      <c r="B1131" s="13"/>
      <c r="C1131" s="45"/>
    </row>
    <row r="1132" spans="1:3">
      <c r="A1132" s="9"/>
      <c r="B1132" s="13"/>
      <c r="C1132" s="45"/>
    </row>
    <row r="1133" spans="1:3">
      <c r="A1133" s="9"/>
      <c r="B1133" s="13"/>
      <c r="C1133" s="45"/>
    </row>
    <row r="1134" spans="1:3">
      <c r="A1134" s="9"/>
      <c r="B1134" s="13"/>
      <c r="C1134" s="45"/>
    </row>
    <row r="1135" spans="1:3">
      <c r="A1135" s="9"/>
      <c r="B1135" s="13"/>
      <c r="C1135" s="45"/>
    </row>
    <row r="1136" spans="1:3">
      <c r="A1136" s="9"/>
      <c r="B1136" s="13"/>
      <c r="C1136" s="45"/>
    </row>
    <row r="1137" spans="1:3">
      <c r="A1137" s="9"/>
      <c r="B1137" s="13"/>
      <c r="C1137" s="45"/>
    </row>
    <row r="1138" spans="1:3">
      <c r="A1138" s="9"/>
      <c r="B1138" s="13"/>
      <c r="C1138" s="45"/>
    </row>
    <row r="1139" spans="1:3">
      <c r="A1139" s="9"/>
      <c r="B1139" s="13"/>
      <c r="C1139" s="45"/>
    </row>
    <row r="1140" spans="1:3">
      <c r="A1140" s="9"/>
      <c r="B1140" s="13"/>
      <c r="C1140" s="45"/>
    </row>
    <row r="1141" spans="1:3">
      <c r="A1141" s="9"/>
      <c r="B1141" s="13"/>
      <c r="C1141" s="45"/>
    </row>
    <row r="1142" spans="1:3">
      <c r="A1142" s="9"/>
      <c r="B1142" s="13"/>
      <c r="C1142" s="45"/>
    </row>
    <row r="1143" spans="1:3">
      <c r="A1143" s="9"/>
      <c r="B1143" s="13"/>
      <c r="C1143" s="45"/>
    </row>
    <row r="1144" spans="1:3">
      <c r="A1144" s="9"/>
      <c r="B1144" s="13"/>
      <c r="C1144" s="45"/>
    </row>
    <row r="1145" spans="1:3">
      <c r="A1145" s="9"/>
      <c r="B1145" s="13"/>
      <c r="C1145" s="45"/>
    </row>
    <row r="1146" spans="1:3">
      <c r="A1146" s="9"/>
      <c r="B1146" s="13"/>
      <c r="C1146" s="45"/>
    </row>
    <row r="1147" spans="1:3">
      <c r="A1147" s="9"/>
      <c r="B1147" s="13"/>
      <c r="C1147" s="45"/>
    </row>
    <row r="1148" spans="1:3">
      <c r="A1148" s="9"/>
      <c r="B1148" s="13"/>
      <c r="C1148" s="45"/>
    </row>
    <row r="1149" spans="1:3">
      <c r="A1149" s="9"/>
      <c r="B1149" s="13"/>
      <c r="C1149" s="45"/>
    </row>
    <row r="1150" spans="1:3">
      <c r="A1150" s="9"/>
      <c r="B1150" s="13"/>
      <c r="C1150" s="45"/>
    </row>
    <row r="1151" spans="1:3">
      <c r="A1151" s="9"/>
      <c r="B1151" s="13"/>
      <c r="C1151" s="45"/>
    </row>
    <row r="1152" spans="1:3">
      <c r="A1152" s="9"/>
      <c r="B1152" s="13"/>
      <c r="C1152" s="45"/>
    </row>
    <row r="1153" spans="1:3">
      <c r="A1153" s="9"/>
      <c r="B1153" s="13"/>
      <c r="C1153" s="45"/>
    </row>
    <row r="1154" spans="1:3">
      <c r="A1154" s="9"/>
      <c r="B1154" s="13"/>
      <c r="C1154" s="45"/>
    </row>
    <row r="1155" spans="1:3">
      <c r="A1155" s="9"/>
      <c r="B1155" s="13"/>
      <c r="C1155" s="45"/>
    </row>
    <row r="1156" spans="1:3">
      <c r="A1156" s="9"/>
      <c r="B1156" s="13"/>
      <c r="C1156" s="45"/>
    </row>
    <row r="1157" spans="1:3">
      <c r="A1157" s="9"/>
      <c r="B1157" s="13"/>
      <c r="C1157" s="45"/>
    </row>
    <row r="1158" spans="1:3">
      <c r="A1158" s="9"/>
      <c r="B1158" s="13"/>
      <c r="C1158" s="45"/>
    </row>
    <row r="1159" spans="1:3">
      <c r="A1159" s="9"/>
      <c r="B1159" s="13"/>
      <c r="C1159" s="45"/>
    </row>
    <row r="1160" spans="1:3">
      <c r="A1160" s="9"/>
      <c r="B1160" s="13"/>
      <c r="C1160" s="45"/>
    </row>
    <row r="1161" spans="1:3">
      <c r="A1161" s="9"/>
      <c r="B1161" s="13"/>
      <c r="C1161" s="45"/>
    </row>
    <row r="1162" spans="1:3">
      <c r="A1162" s="9"/>
      <c r="B1162" s="13"/>
      <c r="C1162" s="45"/>
    </row>
    <row r="1163" spans="1:3">
      <c r="A1163" s="9"/>
      <c r="B1163" s="13"/>
      <c r="C1163" s="45"/>
    </row>
    <row r="1164" spans="1:3">
      <c r="A1164" s="9"/>
      <c r="B1164" s="13"/>
      <c r="C1164" s="45"/>
    </row>
    <row r="1165" spans="1:3">
      <c r="A1165" s="9"/>
      <c r="B1165" s="13"/>
      <c r="C1165" s="45"/>
    </row>
    <row r="1166" spans="1:3">
      <c r="A1166" s="9"/>
      <c r="B1166" s="13"/>
      <c r="C1166" s="45"/>
    </row>
    <row r="1167" spans="1:3">
      <c r="A1167" s="9"/>
      <c r="B1167" s="13"/>
      <c r="C1167" s="45"/>
    </row>
    <row r="1168" spans="1:3">
      <c r="A1168" s="9"/>
      <c r="B1168" s="13"/>
      <c r="C1168" s="45"/>
    </row>
    <row r="1169" spans="1:3">
      <c r="A1169" s="9"/>
      <c r="B1169" s="13"/>
      <c r="C1169" s="45"/>
    </row>
    <row r="1170" spans="1:3">
      <c r="A1170" s="9"/>
      <c r="B1170" s="13"/>
      <c r="C1170" s="45"/>
    </row>
    <row r="1171" spans="1:3">
      <c r="A1171" s="9"/>
      <c r="B1171" s="13"/>
      <c r="C1171" s="45"/>
    </row>
    <row r="1172" spans="1:3">
      <c r="A1172" s="9"/>
      <c r="B1172" s="13"/>
      <c r="C1172" s="45"/>
    </row>
    <row r="1173" spans="1:3">
      <c r="A1173" s="9"/>
      <c r="B1173" s="13"/>
      <c r="C1173" s="45"/>
    </row>
    <row r="1174" spans="1:3">
      <c r="A1174" s="9"/>
      <c r="B1174" s="13"/>
      <c r="C1174" s="45"/>
    </row>
    <row r="1175" spans="1:3">
      <c r="A1175" s="9"/>
      <c r="B1175" s="13"/>
      <c r="C1175" s="45"/>
    </row>
    <row r="1176" spans="1:3">
      <c r="A1176" s="9"/>
      <c r="B1176" s="13"/>
      <c r="C1176" s="45"/>
    </row>
    <row r="1177" spans="1:3">
      <c r="A1177" s="9"/>
      <c r="B1177" s="13"/>
      <c r="C1177" s="45"/>
    </row>
    <row r="1178" spans="1:3">
      <c r="A1178" s="9"/>
      <c r="B1178" s="13"/>
      <c r="C1178" s="45"/>
    </row>
    <row r="1179" spans="1:3">
      <c r="A1179" s="9"/>
      <c r="B1179" s="13"/>
      <c r="C1179" s="45"/>
    </row>
    <row r="1180" spans="1:3">
      <c r="A1180" s="9"/>
      <c r="B1180" s="13"/>
      <c r="C1180" s="45"/>
    </row>
    <row r="1181" spans="1:3">
      <c r="A1181" s="9"/>
      <c r="B1181" s="13"/>
      <c r="C1181" s="45"/>
    </row>
    <row r="1182" spans="1:3">
      <c r="A1182" s="9"/>
      <c r="B1182" s="13"/>
      <c r="C1182" s="45"/>
    </row>
    <row r="1183" spans="1:3">
      <c r="A1183" s="9"/>
      <c r="B1183" s="13"/>
      <c r="C1183" s="45"/>
    </row>
    <row r="1184" spans="1:3">
      <c r="A1184" s="9"/>
      <c r="B1184" s="13"/>
      <c r="C1184" s="45"/>
    </row>
    <row r="1185" spans="1:3">
      <c r="A1185" s="9"/>
      <c r="B1185" s="13"/>
      <c r="C1185" s="45"/>
    </row>
    <row r="1186" spans="1:3">
      <c r="A1186" s="9"/>
      <c r="B1186" s="13"/>
      <c r="C1186" s="45"/>
    </row>
    <row r="1187" spans="1:3">
      <c r="A1187" s="9"/>
      <c r="B1187" s="13"/>
      <c r="C1187" s="45"/>
    </row>
    <row r="1188" spans="1:3">
      <c r="A1188" s="9"/>
      <c r="B1188" s="13"/>
      <c r="C1188" s="45"/>
    </row>
    <row r="1189" spans="1:3">
      <c r="A1189" s="9"/>
      <c r="B1189" s="13"/>
      <c r="C1189" s="45"/>
    </row>
    <row r="1190" spans="1:3">
      <c r="A1190" s="9"/>
      <c r="B1190" s="13"/>
      <c r="C1190" s="45"/>
    </row>
    <row r="1191" spans="1:3">
      <c r="A1191" s="9"/>
      <c r="B1191" s="13"/>
      <c r="C1191" s="45"/>
    </row>
    <row r="1192" spans="1:3">
      <c r="A1192" s="9"/>
      <c r="B1192" s="13"/>
      <c r="C1192" s="45"/>
    </row>
    <row r="1193" spans="1:3">
      <c r="A1193" s="9"/>
      <c r="B1193" s="13"/>
      <c r="C1193" s="45"/>
    </row>
    <row r="1194" spans="1:3">
      <c r="A1194" s="9"/>
      <c r="B1194" s="13"/>
      <c r="C1194" s="45"/>
    </row>
    <row r="1195" spans="1:3">
      <c r="A1195" s="9"/>
      <c r="B1195" s="13"/>
      <c r="C1195" s="45"/>
    </row>
    <row r="1196" spans="1:3">
      <c r="A1196" s="9"/>
      <c r="B1196" s="13"/>
      <c r="C1196" s="45"/>
    </row>
    <row r="1197" spans="1:3">
      <c r="A1197" s="9"/>
      <c r="B1197" s="13"/>
      <c r="C1197" s="45"/>
    </row>
    <row r="1198" spans="1:3">
      <c r="A1198" s="9"/>
      <c r="B1198" s="13"/>
      <c r="C1198" s="45"/>
    </row>
    <row r="1199" spans="1:3">
      <c r="A1199" s="9"/>
      <c r="B1199" s="13"/>
      <c r="C1199" s="45"/>
    </row>
    <row r="1200" spans="1:3">
      <c r="A1200" s="9"/>
      <c r="B1200" s="13"/>
      <c r="C1200" s="45"/>
    </row>
    <row r="1201" spans="1:3">
      <c r="A1201" s="9"/>
      <c r="B1201" s="13"/>
      <c r="C1201" s="45"/>
    </row>
    <row r="1202" spans="1:3">
      <c r="A1202" s="9"/>
      <c r="B1202" s="13"/>
      <c r="C1202" s="45"/>
    </row>
    <row r="1203" spans="1:3">
      <c r="A1203" s="9"/>
      <c r="B1203" s="13"/>
      <c r="C1203" s="45"/>
    </row>
    <row r="1204" spans="1:3">
      <c r="A1204" s="9"/>
      <c r="B1204" s="13"/>
      <c r="C1204" s="45"/>
    </row>
    <row r="1205" spans="1:3">
      <c r="A1205" s="9"/>
      <c r="B1205" s="13"/>
      <c r="C1205" s="45"/>
    </row>
    <row r="1206" spans="1:3">
      <c r="A1206" s="9"/>
      <c r="B1206" s="13"/>
      <c r="C1206" s="45"/>
    </row>
    <row r="1207" spans="1:3">
      <c r="A1207" s="9"/>
      <c r="B1207" s="13"/>
      <c r="C1207" s="45"/>
    </row>
    <row r="1208" spans="1:3">
      <c r="A1208" s="9"/>
      <c r="B1208" s="13"/>
      <c r="C1208" s="45"/>
    </row>
    <row r="1209" spans="1:3">
      <c r="A1209" s="9"/>
      <c r="B1209" s="13"/>
      <c r="C1209" s="45"/>
    </row>
    <row r="1210" spans="1:3">
      <c r="A1210" s="9"/>
      <c r="B1210" s="13"/>
      <c r="C1210" s="45"/>
    </row>
    <row r="1211" spans="1:3">
      <c r="A1211" s="9"/>
      <c r="B1211" s="13"/>
      <c r="C1211" s="45"/>
    </row>
    <row r="1212" spans="1:3">
      <c r="A1212" s="9"/>
      <c r="B1212" s="13"/>
      <c r="C1212" s="45"/>
    </row>
    <row r="1213" spans="1:3">
      <c r="A1213" s="9"/>
      <c r="B1213" s="13"/>
      <c r="C1213" s="45"/>
    </row>
    <row r="1214" spans="1:3">
      <c r="A1214" s="9"/>
      <c r="B1214" s="13"/>
      <c r="C1214" s="45"/>
    </row>
    <row r="1215" spans="1:3">
      <c r="A1215" s="9"/>
      <c r="B1215" s="13"/>
      <c r="C1215" s="45"/>
    </row>
    <row r="1216" spans="1:3">
      <c r="A1216" s="9"/>
      <c r="B1216" s="13"/>
      <c r="C1216" s="45"/>
    </row>
    <row r="1217" spans="1:3">
      <c r="A1217" s="9"/>
      <c r="B1217" s="13"/>
      <c r="C1217" s="45"/>
    </row>
    <row r="1218" spans="1:3">
      <c r="A1218" s="9"/>
      <c r="B1218" s="13"/>
      <c r="C1218" s="45"/>
    </row>
    <row r="1219" spans="1:3">
      <c r="A1219" s="9"/>
      <c r="B1219" s="13"/>
      <c r="C1219" s="45"/>
    </row>
    <row r="1220" spans="1:3">
      <c r="A1220" s="9"/>
      <c r="B1220" s="13"/>
      <c r="C1220" s="45"/>
    </row>
    <row r="1221" spans="1:3">
      <c r="A1221" s="9"/>
      <c r="B1221" s="13"/>
      <c r="C1221" s="45"/>
    </row>
    <row r="1222" spans="1:3">
      <c r="A1222" s="9"/>
      <c r="B1222" s="13"/>
      <c r="C1222" s="45"/>
    </row>
    <row r="1223" spans="1:3">
      <c r="A1223" s="9"/>
      <c r="B1223" s="13"/>
      <c r="C1223" s="45"/>
    </row>
    <row r="1224" spans="1:3">
      <c r="A1224" s="9"/>
      <c r="B1224" s="13"/>
      <c r="C1224" s="45"/>
    </row>
    <row r="1225" spans="1:3">
      <c r="A1225" s="9"/>
      <c r="B1225" s="13"/>
      <c r="C1225" s="45"/>
    </row>
    <row r="1226" spans="1:3">
      <c r="A1226" s="9"/>
      <c r="B1226" s="13"/>
      <c r="C1226" s="45"/>
    </row>
    <row r="1227" spans="1:3">
      <c r="A1227" s="9"/>
      <c r="B1227" s="13"/>
      <c r="C1227" s="45"/>
    </row>
    <row r="1228" spans="1:3">
      <c r="A1228" s="9"/>
      <c r="B1228" s="13"/>
      <c r="C1228" s="45"/>
    </row>
    <row r="1229" spans="1:3">
      <c r="A1229" s="9"/>
      <c r="B1229" s="13"/>
      <c r="C1229" s="45"/>
    </row>
    <row r="1230" spans="1:3">
      <c r="A1230" s="9"/>
      <c r="B1230" s="13"/>
      <c r="C1230" s="45"/>
    </row>
    <row r="1231" spans="1:3">
      <c r="A1231" s="9"/>
      <c r="B1231" s="13"/>
      <c r="C1231" s="45"/>
    </row>
    <row r="1232" spans="1:3">
      <c r="A1232" s="9"/>
      <c r="B1232" s="13"/>
      <c r="C1232" s="45"/>
    </row>
    <row r="1233" spans="1:3">
      <c r="A1233" s="9"/>
      <c r="B1233" s="13"/>
      <c r="C1233" s="45"/>
    </row>
    <row r="1234" spans="1:3">
      <c r="A1234" s="9"/>
      <c r="B1234" s="13"/>
      <c r="C1234" s="45"/>
    </row>
    <row r="1235" spans="1:3">
      <c r="A1235" s="9"/>
      <c r="B1235" s="13"/>
      <c r="C1235" s="45"/>
    </row>
    <row r="1236" spans="1:3">
      <c r="A1236" s="9"/>
      <c r="B1236" s="13"/>
      <c r="C1236" s="45"/>
    </row>
    <row r="1237" spans="1:3">
      <c r="A1237" s="9"/>
      <c r="B1237" s="13"/>
      <c r="C1237" s="45"/>
    </row>
    <row r="1238" spans="1:3">
      <c r="A1238" s="9"/>
      <c r="B1238" s="13"/>
      <c r="C1238" s="45"/>
    </row>
    <row r="1239" spans="1:3">
      <c r="A1239" s="9"/>
      <c r="B1239" s="13"/>
      <c r="C1239" s="45"/>
    </row>
    <row r="1240" spans="1:3">
      <c r="A1240" s="9"/>
      <c r="B1240" s="13"/>
      <c r="C1240" s="45"/>
    </row>
    <row r="1241" spans="1:3">
      <c r="A1241" s="9"/>
      <c r="B1241" s="13"/>
      <c r="C1241" s="45"/>
    </row>
    <row r="1242" spans="1:3">
      <c r="A1242" s="9"/>
      <c r="B1242" s="13"/>
      <c r="C1242" s="45"/>
    </row>
    <row r="1243" spans="1:3">
      <c r="A1243" s="9"/>
      <c r="B1243" s="13"/>
      <c r="C1243" s="45"/>
    </row>
    <row r="1244" spans="1:3">
      <c r="A1244" s="9"/>
      <c r="B1244" s="13"/>
      <c r="C1244" s="45"/>
    </row>
    <row r="1245" spans="1:3">
      <c r="A1245" s="9"/>
      <c r="B1245" s="13"/>
      <c r="C1245" s="45"/>
    </row>
    <row r="1246" spans="1:3">
      <c r="A1246" s="9"/>
      <c r="B1246" s="13"/>
      <c r="C1246" s="45"/>
    </row>
    <row r="1247" spans="1:3">
      <c r="A1247" s="9"/>
      <c r="B1247" s="13"/>
      <c r="C1247" s="45"/>
    </row>
    <row r="1248" spans="1:3">
      <c r="A1248" s="9"/>
      <c r="B1248" s="13"/>
      <c r="C1248" s="45"/>
    </row>
    <row r="1249" spans="1:3">
      <c r="A1249" s="9"/>
      <c r="B1249" s="13"/>
      <c r="C1249" s="45"/>
    </row>
    <row r="1250" spans="1:3">
      <c r="A1250" s="9"/>
      <c r="B1250" s="13"/>
      <c r="C1250" s="45"/>
    </row>
    <row r="1251" spans="1:3">
      <c r="A1251" s="9"/>
      <c r="B1251" s="13"/>
      <c r="C1251" s="45"/>
    </row>
    <row r="1252" spans="1:3">
      <c r="A1252" s="9"/>
      <c r="B1252" s="13"/>
      <c r="C1252" s="45"/>
    </row>
    <row r="1253" spans="1:3">
      <c r="A1253" s="9"/>
      <c r="B1253" s="13"/>
      <c r="C1253" s="45"/>
    </row>
    <row r="1254" spans="1:3">
      <c r="A1254" s="9"/>
      <c r="B1254" s="13"/>
      <c r="C1254" s="45"/>
    </row>
    <row r="1255" spans="1:3">
      <c r="A1255" s="9"/>
      <c r="B1255" s="13"/>
      <c r="C1255" s="45"/>
    </row>
    <row r="1256" spans="1:3">
      <c r="A1256" s="9"/>
      <c r="B1256" s="13"/>
      <c r="C1256" s="45"/>
    </row>
    <row r="1257" spans="1:3">
      <c r="A1257" s="9"/>
      <c r="B1257" s="13"/>
      <c r="C1257" s="45"/>
    </row>
    <row r="1258" spans="1:3">
      <c r="A1258" s="9"/>
      <c r="B1258" s="13"/>
      <c r="C1258" s="45"/>
    </row>
    <row r="1259" spans="1:3">
      <c r="A1259" s="9"/>
      <c r="B1259" s="13"/>
      <c r="C1259" s="45"/>
    </row>
    <row r="1260" spans="1:3">
      <c r="A1260" s="9"/>
      <c r="B1260" s="13"/>
      <c r="C1260" s="45"/>
    </row>
    <row r="1261" spans="1:3">
      <c r="A1261" s="9"/>
      <c r="B1261" s="13"/>
      <c r="C1261" s="45"/>
    </row>
    <row r="1262" spans="1:3">
      <c r="A1262" s="9"/>
      <c r="B1262" s="13"/>
      <c r="C1262" s="45"/>
    </row>
    <row r="1263" spans="1:3">
      <c r="A1263" s="9"/>
      <c r="B1263" s="13"/>
      <c r="C1263" s="45"/>
    </row>
    <row r="1264" spans="1:3">
      <c r="A1264" s="9"/>
      <c r="B1264" s="13"/>
      <c r="C1264" s="45"/>
    </row>
    <row r="1265" spans="1:3">
      <c r="A1265" s="9"/>
      <c r="B1265" s="13"/>
      <c r="C1265" s="45"/>
    </row>
    <row r="1266" spans="1:3">
      <c r="A1266" s="9"/>
      <c r="B1266" s="13"/>
      <c r="C1266" s="45"/>
    </row>
    <row r="1267" spans="1:3">
      <c r="A1267" s="9"/>
      <c r="B1267" s="13"/>
      <c r="C1267" s="45"/>
    </row>
    <row r="1268" spans="1:3">
      <c r="A1268" s="9"/>
      <c r="B1268" s="13"/>
      <c r="C1268" s="45"/>
    </row>
    <row r="1269" spans="1:3">
      <c r="A1269" s="9"/>
      <c r="B1269" s="13"/>
      <c r="C1269" s="45"/>
    </row>
    <row r="1270" spans="1:3">
      <c r="A1270" s="9"/>
      <c r="B1270" s="13"/>
      <c r="C1270" s="45"/>
    </row>
    <row r="1271" spans="1:3">
      <c r="A1271" s="9"/>
      <c r="B1271" s="13"/>
      <c r="C1271" s="45"/>
    </row>
    <row r="1272" spans="1:3">
      <c r="A1272" s="9"/>
      <c r="B1272" s="13"/>
      <c r="C1272" s="45"/>
    </row>
    <row r="1273" spans="1:3">
      <c r="A1273" s="9"/>
      <c r="B1273" s="13"/>
      <c r="C1273" s="45"/>
    </row>
    <row r="1274" spans="1:3">
      <c r="A1274" s="9"/>
      <c r="B1274" s="13"/>
      <c r="C1274" s="45"/>
    </row>
    <row r="1275" spans="1:3">
      <c r="A1275" s="9"/>
      <c r="B1275" s="13"/>
      <c r="C1275" s="45"/>
    </row>
    <row r="1276" spans="1:3">
      <c r="A1276" s="9"/>
      <c r="B1276" s="13"/>
      <c r="C1276" s="45"/>
    </row>
    <row r="1277" spans="1:3">
      <c r="A1277" s="9"/>
      <c r="B1277" s="13"/>
      <c r="C1277" s="45"/>
    </row>
    <row r="1278" spans="1:3">
      <c r="A1278" s="9"/>
      <c r="B1278" s="13"/>
      <c r="C1278" s="45"/>
    </row>
    <row r="1279" spans="1:3">
      <c r="A1279" s="9"/>
      <c r="B1279" s="13"/>
      <c r="C1279" s="45"/>
    </row>
    <row r="1280" spans="1:3">
      <c r="A1280" s="9"/>
      <c r="B1280" s="13"/>
      <c r="C1280" s="45"/>
    </row>
    <row r="1281" spans="1:3">
      <c r="A1281" s="9"/>
      <c r="B1281" s="13"/>
      <c r="C1281" s="45"/>
    </row>
    <row r="1282" spans="1:3">
      <c r="A1282" s="9"/>
      <c r="B1282" s="13"/>
      <c r="C1282" s="45"/>
    </row>
    <row r="1283" spans="1:3">
      <c r="A1283" s="9"/>
      <c r="B1283" s="13"/>
      <c r="C1283" s="45"/>
    </row>
    <row r="1284" spans="1:3">
      <c r="A1284" s="9"/>
      <c r="B1284" s="13"/>
      <c r="C1284" s="45"/>
    </row>
    <row r="1285" spans="1:3">
      <c r="A1285" s="9"/>
      <c r="B1285" s="13"/>
      <c r="C1285" s="45"/>
    </row>
    <row r="1286" spans="1:3">
      <c r="A1286" s="9"/>
      <c r="B1286" s="13"/>
      <c r="C1286" s="45"/>
    </row>
    <row r="1287" spans="1:3">
      <c r="A1287" s="9"/>
      <c r="B1287" s="13"/>
      <c r="C1287" s="45"/>
    </row>
    <row r="1288" spans="1:3">
      <c r="A1288" s="9"/>
      <c r="B1288" s="13"/>
      <c r="C1288" s="45"/>
    </row>
    <row r="1289" spans="1:3">
      <c r="A1289" s="9"/>
      <c r="B1289" s="13"/>
      <c r="C1289" s="45"/>
    </row>
    <row r="1290" spans="1:3">
      <c r="A1290" s="9"/>
      <c r="B1290" s="13"/>
      <c r="C1290" s="45"/>
    </row>
    <row r="1291" spans="1:3">
      <c r="A1291" s="9"/>
      <c r="B1291" s="13"/>
      <c r="C1291" s="45"/>
    </row>
    <row r="1292" spans="1:3">
      <c r="A1292" s="9"/>
      <c r="B1292" s="13"/>
      <c r="C1292" s="45"/>
    </row>
    <row r="1293" spans="1:3">
      <c r="A1293" s="9"/>
      <c r="B1293" s="13"/>
      <c r="C1293" s="45"/>
    </row>
    <row r="1294" spans="1:3">
      <c r="A1294" s="9"/>
      <c r="B1294" s="13"/>
      <c r="C1294" s="45"/>
    </row>
    <row r="1295" spans="1:3">
      <c r="A1295" s="9"/>
      <c r="B1295" s="13"/>
      <c r="C1295" s="45"/>
    </row>
    <row r="1296" spans="1:3">
      <c r="A1296" s="9"/>
      <c r="B1296" s="13"/>
      <c r="C1296" s="45"/>
    </row>
    <row r="1297" spans="1:3">
      <c r="A1297" s="9"/>
      <c r="B1297" s="13"/>
      <c r="C1297" s="45"/>
    </row>
    <row r="1298" spans="1:3">
      <c r="A1298" s="9"/>
      <c r="B1298" s="13"/>
      <c r="C1298" s="45"/>
    </row>
    <row r="1299" spans="1:3">
      <c r="A1299" s="9"/>
      <c r="B1299" s="13"/>
      <c r="C1299" s="45"/>
    </row>
    <row r="1300" spans="1:3">
      <c r="A1300" s="9"/>
      <c r="B1300" s="13"/>
      <c r="C1300" s="45"/>
    </row>
    <row r="1301" spans="1:3">
      <c r="A1301" s="9"/>
      <c r="B1301" s="13"/>
      <c r="C1301" s="45"/>
    </row>
    <row r="1302" spans="1:3">
      <c r="A1302" s="9"/>
      <c r="B1302" s="13"/>
      <c r="C1302" s="45"/>
    </row>
    <row r="1303" spans="1:3">
      <c r="A1303" s="9"/>
      <c r="B1303" s="13"/>
      <c r="C1303" s="45"/>
    </row>
    <row r="1304" spans="1:3">
      <c r="A1304" s="9"/>
      <c r="B1304" s="13"/>
      <c r="C1304" s="45"/>
    </row>
    <row r="1305" spans="1:3">
      <c r="A1305" s="9"/>
      <c r="B1305" s="13"/>
      <c r="C1305" s="45"/>
    </row>
    <row r="1306" spans="1:3">
      <c r="A1306" s="9"/>
      <c r="B1306" s="13"/>
      <c r="C1306" s="45"/>
    </row>
    <row r="1307" spans="1:3">
      <c r="A1307" s="9"/>
      <c r="B1307" s="13"/>
      <c r="C1307" s="45"/>
    </row>
    <row r="1308" spans="1:3">
      <c r="A1308" s="9"/>
      <c r="B1308" s="13"/>
      <c r="C1308" s="45"/>
    </row>
    <row r="1309" spans="1:3">
      <c r="A1309" s="9"/>
      <c r="B1309" s="13"/>
      <c r="C1309" s="45"/>
    </row>
    <row r="1310" spans="1:3">
      <c r="A1310" s="9"/>
      <c r="B1310" s="13"/>
      <c r="C1310" s="45"/>
    </row>
    <row r="1311" spans="1:3">
      <c r="A1311" s="9"/>
      <c r="B1311" s="13"/>
      <c r="C1311" s="45"/>
    </row>
    <row r="1312" spans="1:3">
      <c r="A1312" s="9"/>
      <c r="B1312" s="13"/>
      <c r="C1312" s="45"/>
    </row>
    <row r="1313" spans="1:3">
      <c r="A1313" s="9"/>
      <c r="B1313" s="13"/>
      <c r="C1313" s="45"/>
    </row>
    <row r="1314" spans="1:3">
      <c r="A1314" s="9"/>
      <c r="B1314" s="13"/>
      <c r="C1314" s="45"/>
    </row>
    <row r="1315" spans="1:3">
      <c r="A1315" s="9"/>
      <c r="B1315" s="13"/>
      <c r="C1315" s="45"/>
    </row>
    <row r="1316" spans="1:3">
      <c r="A1316" s="9"/>
      <c r="B1316" s="13"/>
      <c r="C1316" s="45"/>
    </row>
    <row r="1317" spans="1:3">
      <c r="A1317" s="9"/>
      <c r="B1317" s="13"/>
      <c r="C1317" s="45"/>
    </row>
    <row r="1318" spans="1:3">
      <c r="A1318" s="9"/>
      <c r="B1318" s="13"/>
      <c r="C1318" s="45"/>
    </row>
    <row r="1319" spans="1:3">
      <c r="A1319" s="9"/>
      <c r="B1319" s="13"/>
      <c r="C1319" s="45"/>
    </row>
    <row r="1320" spans="1:3">
      <c r="A1320" s="9"/>
      <c r="B1320" s="13"/>
      <c r="C1320" s="45"/>
    </row>
    <row r="1321" spans="1:3">
      <c r="A1321" s="9"/>
      <c r="B1321" s="13"/>
      <c r="C1321" s="45"/>
    </row>
    <row r="1322" spans="1:3">
      <c r="A1322" s="9"/>
      <c r="B1322" s="13"/>
      <c r="C1322" s="45"/>
    </row>
    <row r="1323" spans="1:3">
      <c r="A1323" s="9"/>
      <c r="B1323" s="13"/>
      <c r="C1323" s="45"/>
    </row>
    <row r="1324" spans="1:3">
      <c r="A1324" s="9"/>
      <c r="B1324" s="13"/>
      <c r="C1324" s="45"/>
    </row>
    <row r="1325" spans="1:3">
      <c r="A1325" s="9"/>
      <c r="B1325" s="13"/>
      <c r="C1325" s="45"/>
    </row>
    <row r="1326" spans="1:3">
      <c r="A1326" s="9"/>
      <c r="B1326" s="13"/>
      <c r="C1326" s="45"/>
    </row>
    <row r="1327" spans="1:3">
      <c r="A1327" s="9"/>
      <c r="B1327" s="13"/>
      <c r="C1327" s="45"/>
    </row>
    <row r="1328" spans="1:3">
      <c r="A1328" s="9"/>
      <c r="B1328" s="13"/>
      <c r="C1328" s="45"/>
    </row>
    <row r="1329" spans="1:3">
      <c r="A1329" s="9"/>
      <c r="B1329" s="13"/>
      <c r="C1329" s="45"/>
    </row>
    <row r="1330" spans="1:3">
      <c r="A1330" s="9"/>
      <c r="B1330" s="13"/>
      <c r="C1330" s="45"/>
    </row>
    <row r="1331" spans="1:3">
      <c r="A1331" s="9"/>
      <c r="B1331" s="13"/>
      <c r="C1331" s="45"/>
    </row>
    <row r="1332" spans="1:3">
      <c r="A1332" s="9"/>
      <c r="B1332" s="13"/>
      <c r="C1332" s="45"/>
    </row>
    <row r="1333" spans="1:3">
      <c r="A1333" s="9"/>
      <c r="B1333" s="13"/>
      <c r="C1333" s="45"/>
    </row>
    <row r="1334" spans="1:3">
      <c r="A1334" s="9"/>
      <c r="B1334" s="13"/>
      <c r="C1334" s="45"/>
    </row>
    <row r="1335" spans="1:3">
      <c r="A1335" s="9"/>
      <c r="B1335" s="13"/>
      <c r="C1335" s="45"/>
    </row>
    <row r="1336" spans="1:3">
      <c r="A1336" s="9"/>
      <c r="B1336" s="13"/>
      <c r="C1336" s="45"/>
    </row>
    <row r="1337" spans="1:3">
      <c r="A1337" s="9"/>
      <c r="B1337" s="13"/>
      <c r="C1337" s="45"/>
    </row>
    <row r="1338" spans="1:3">
      <c r="A1338" s="9"/>
      <c r="B1338" s="13"/>
      <c r="C1338" s="45"/>
    </row>
    <row r="1339" spans="1:3">
      <c r="A1339" s="9"/>
      <c r="B1339" s="13"/>
      <c r="C1339" s="45"/>
    </row>
    <row r="1340" spans="1:3">
      <c r="A1340" s="9"/>
      <c r="B1340" s="13"/>
      <c r="C1340" s="45"/>
    </row>
    <row r="1341" spans="1:3">
      <c r="A1341" s="9"/>
      <c r="B1341" s="13"/>
      <c r="C1341" s="45"/>
    </row>
    <row r="1342" spans="1:3">
      <c r="A1342" s="9"/>
      <c r="B1342" s="13"/>
      <c r="C1342" s="45"/>
    </row>
    <row r="1343" spans="1:3">
      <c r="A1343" s="9"/>
      <c r="B1343" s="13"/>
      <c r="C1343" s="45"/>
    </row>
    <row r="1344" spans="1:3">
      <c r="A1344" s="9"/>
      <c r="B1344" s="13"/>
      <c r="C1344" s="45"/>
    </row>
    <row r="1345" spans="1:3">
      <c r="A1345" s="9"/>
      <c r="B1345" s="13"/>
      <c r="C1345" s="45"/>
    </row>
    <row r="1346" spans="1:3">
      <c r="A1346" s="9"/>
      <c r="B1346" s="13"/>
      <c r="C1346" s="45"/>
    </row>
    <row r="1347" spans="1:3">
      <c r="A1347" s="9"/>
      <c r="B1347" s="13"/>
      <c r="C1347" s="45"/>
    </row>
    <row r="1348" spans="1:3">
      <c r="A1348" s="9"/>
      <c r="B1348" s="13"/>
      <c r="C1348" s="45"/>
    </row>
    <row r="1349" spans="1:3">
      <c r="A1349" s="9"/>
      <c r="B1349" s="13"/>
      <c r="C1349" s="45"/>
    </row>
    <row r="1350" spans="1:3">
      <c r="A1350" s="9"/>
      <c r="B1350" s="13"/>
      <c r="C1350" s="45"/>
    </row>
    <row r="1351" spans="1:3">
      <c r="A1351" s="9"/>
      <c r="B1351" s="13"/>
      <c r="C1351" s="45"/>
    </row>
    <row r="1352" spans="1:3">
      <c r="A1352" s="9"/>
      <c r="B1352" s="13"/>
      <c r="C1352" s="45"/>
    </row>
    <row r="1353" spans="1:3">
      <c r="A1353" s="9"/>
      <c r="B1353" s="13"/>
      <c r="C1353" s="45"/>
    </row>
    <row r="1354" spans="1:3">
      <c r="A1354" s="9"/>
      <c r="B1354" s="13"/>
      <c r="C1354" s="45"/>
    </row>
    <row r="1355" spans="1:3">
      <c r="A1355" s="9"/>
      <c r="B1355" s="13"/>
      <c r="C1355" s="45"/>
    </row>
    <row r="1356" spans="1:3">
      <c r="A1356" s="9"/>
      <c r="B1356" s="13"/>
      <c r="C1356" s="45"/>
    </row>
    <row r="1357" spans="1:3">
      <c r="A1357" s="9"/>
      <c r="B1357" s="13"/>
      <c r="C1357" s="45"/>
    </row>
    <row r="1358" spans="1:3">
      <c r="A1358" s="9"/>
      <c r="B1358" s="13"/>
      <c r="C1358" s="45"/>
    </row>
    <row r="1359" spans="1:3">
      <c r="A1359" s="9"/>
      <c r="B1359" s="13"/>
      <c r="C1359" s="45"/>
    </row>
    <row r="1360" spans="1:3">
      <c r="A1360" s="9"/>
      <c r="B1360" s="13"/>
      <c r="C1360" s="45"/>
    </row>
    <row r="1361" spans="1:3">
      <c r="A1361" s="9"/>
      <c r="B1361" s="13"/>
      <c r="C1361" s="45"/>
    </row>
    <row r="1362" spans="1:3">
      <c r="A1362" s="9"/>
      <c r="B1362" s="13"/>
      <c r="C1362" s="45"/>
    </row>
    <row r="1363" spans="1:3">
      <c r="A1363" s="9"/>
      <c r="B1363" s="13"/>
      <c r="C1363" s="45"/>
    </row>
    <row r="1364" spans="1:3">
      <c r="A1364" s="9"/>
      <c r="B1364" s="13"/>
      <c r="C1364" s="45"/>
    </row>
    <row r="1365" spans="1:3">
      <c r="A1365" s="9"/>
      <c r="B1365" s="13"/>
      <c r="C1365" s="45"/>
    </row>
    <row r="1366" spans="1:3">
      <c r="A1366" s="9"/>
      <c r="B1366" s="13"/>
      <c r="C1366" s="45"/>
    </row>
    <row r="1367" spans="1:3">
      <c r="A1367" s="9"/>
      <c r="B1367" s="13"/>
      <c r="C1367" s="45"/>
    </row>
    <row r="1368" spans="1:3">
      <c r="A1368" s="9"/>
      <c r="B1368" s="13"/>
      <c r="C1368" s="45"/>
    </row>
    <row r="1369" spans="1:3">
      <c r="A1369" s="9"/>
      <c r="B1369" s="13"/>
      <c r="C1369" s="45"/>
    </row>
    <row r="1370" spans="1:3">
      <c r="A1370" s="9"/>
      <c r="B1370" s="13"/>
      <c r="C1370" s="45"/>
    </row>
    <row r="1371" spans="1:3">
      <c r="A1371" s="9"/>
      <c r="B1371" s="13"/>
      <c r="C1371" s="45"/>
    </row>
    <row r="1372" spans="1:3">
      <c r="A1372" s="9"/>
      <c r="B1372" s="13"/>
      <c r="C1372" s="45"/>
    </row>
    <row r="1373" spans="1:3">
      <c r="A1373" s="9"/>
      <c r="B1373" s="13"/>
      <c r="C1373" s="45"/>
    </row>
    <row r="1374" spans="1:3">
      <c r="A1374" s="9"/>
      <c r="B1374" s="13"/>
      <c r="C1374" s="45"/>
    </row>
    <row r="1375" spans="1:3">
      <c r="A1375" s="9"/>
      <c r="B1375" s="13"/>
      <c r="C1375" s="45"/>
    </row>
    <row r="1376" spans="1:3">
      <c r="A1376" s="9"/>
      <c r="B1376" s="13"/>
      <c r="C1376" s="45"/>
    </row>
    <row r="1377" spans="1:3">
      <c r="A1377" s="9"/>
      <c r="B1377" s="13"/>
      <c r="C1377" s="45"/>
    </row>
    <row r="1378" spans="1:3">
      <c r="A1378" s="9"/>
      <c r="B1378" s="13"/>
      <c r="C1378" s="45"/>
    </row>
    <row r="1379" spans="1:3">
      <c r="A1379" s="9"/>
      <c r="B1379" s="13"/>
      <c r="C1379" s="45"/>
    </row>
    <row r="1380" spans="1:3">
      <c r="A1380" s="9"/>
      <c r="B1380" s="13"/>
      <c r="C1380" s="45"/>
    </row>
    <row r="1381" spans="1:3">
      <c r="A1381" s="9"/>
      <c r="B1381" s="13"/>
      <c r="C1381" s="45"/>
    </row>
    <row r="1382" spans="1:3">
      <c r="A1382" s="9"/>
      <c r="B1382" s="13"/>
      <c r="C1382" s="45"/>
    </row>
    <row r="1383" spans="1:3">
      <c r="A1383" s="9"/>
      <c r="B1383" s="13"/>
      <c r="C1383" s="45"/>
    </row>
    <row r="1384" spans="1:3">
      <c r="A1384" s="9"/>
      <c r="B1384" s="13"/>
      <c r="C1384" s="45"/>
    </row>
    <row r="1385" spans="1:3">
      <c r="A1385" s="9"/>
      <c r="B1385" s="13"/>
      <c r="C1385" s="45"/>
    </row>
    <row r="1386" spans="1:3">
      <c r="A1386" s="9"/>
      <c r="B1386" s="13"/>
      <c r="C1386" s="45"/>
    </row>
    <row r="1387" spans="1:3">
      <c r="A1387" s="9"/>
      <c r="B1387" s="13"/>
      <c r="C1387" s="45"/>
    </row>
    <row r="1388" spans="1:3">
      <c r="A1388" s="9"/>
      <c r="B1388" s="13"/>
      <c r="C1388" s="45"/>
    </row>
    <row r="1389" spans="1:3">
      <c r="A1389" s="9"/>
      <c r="B1389" s="13"/>
      <c r="C1389" s="45"/>
    </row>
    <row r="1390" spans="1:3">
      <c r="A1390" s="9"/>
      <c r="B1390" s="13"/>
      <c r="C1390" s="45"/>
    </row>
    <row r="1391" spans="1:3">
      <c r="A1391" s="9"/>
      <c r="B1391" s="13"/>
      <c r="C1391" s="45"/>
    </row>
    <row r="1392" spans="1:3">
      <c r="A1392" s="9"/>
      <c r="B1392" s="13"/>
      <c r="C1392" s="45"/>
    </row>
    <row r="1393" spans="1:3">
      <c r="A1393" s="9"/>
      <c r="B1393" s="13"/>
      <c r="C1393" s="45"/>
    </row>
    <row r="1394" spans="1:3">
      <c r="A1394" s="9"/>
      <c r="B1394" s="13"/>
      <c r="C1394" s="45"/>
    </row>
    <row r="1395" spans="1:3">
      <c r="A1395" s="9"/>
      <c r="B1395" s="13"/>
      <c r="C1395" s="45"/>
    </row>
    <row r="1396" spans="1:3">
      <c r="A1396" s="9"/>
      <c r="B1396" s="13"/>
      <c r="C1396" s="45"/>
    </row>
    <row r="1397" spans="1:3">
      <c r="A1397" s="9"/>
      <c r="B1397" s="13"/>
      <c r="C1397" s="45"/>
    </row>
    <row r="1398" spans="1:3">
      <c r="A1398" s="9"/>
      <c r="B1398" s="13"/>
      <c r="C1398" s="45"/>
    </row>
    <row r="1399" spans="1:3">
      <c r="A1399" s="9"/>
      <c r="B1399" s="13"/>
      <c r="C1399" s="45"/>
    </row>
    <row r="1400" spans="1:3">
      <c r="A1400" s="9"/>
      <c r="B1400" s="13"/>
      <c r="C1400" s="45"/>
    </row>
    <row r="1401" spans="1:3">
      <c r="A1401" s="9"/>
      <c r="B1401" s="13"/>
      <c r="C1401" s="45"/>
    </row>
    <row r="1402" spans="1:3">
      <c r="A1402" s="9"/>
      <c r="B1402" s="13"/>
      <c r="C1402" s="45"/>
    </row>
    <row r="1403" spans="1:3">
      <c r="A1403" s="9"/>
      <c r="B1403" s="13"/>
      <c r="C1403" s="45"/>
    </row>
    <row r="1404" spans="1:3">
      <c r="A1404" s="9"/>
      <c r="B1404" s="13"/>
      <c r="C1404" s="45"/>
    </row>
    <row r="1405" spans="1:3">
      <c r="A1405" s="9"/>
      <c r="B1405" s="13"/>
      <c r="C1405" s="45"/>
    </row>
    <row r="1406" spans="1:3">
      <c r="A1406" s="9"/>
      <c r="B1406" s="13"/>
      <c r="C1406" s="45"/>
    </row>
    <row r="1407" spans="1:3">
      <c r="A1407" s="9"/>
      <c r="B1407" s="13"/>
      <c r="C1407" s="45"/>
    </row>
    <row r="1408" spans="1:3">
      <c r="A1408" s="9"/>
      <c r="B1408" s="13"/>
      <c r="C1408" s="45"/>
    </row>
    <row r="1409" spans="1:3">
      <c r="A1409" s="9"/>
      <c r="B1409" s="13"/>
      <c r="C1409" s="45"/>
    </row>
    <row r="1410" spans="1:3">
      <c r="A1410" s="9"/>
      <c r="B1410" s="13"/>
      <c r="C1410" s="45"/>
    </row>
    <row r="1411" spans="1:3">
      <c r="A1411" s="9"/>
      <c r="B1411" s="13"/>
      <c r="C1411" s="45"/>
    </row>
    <row r="1412" spans="1:3">
      <c r="A1412" s="9"/>
      <c r="B1412" s="13"/>
      <c r="C1412" s="45"/>
    </row>
    <row r="1413" spans="1:3">
      <c r="A1413" s="9"/>
      <c r="B1413" s="13"/>
      <c r="C1413" s="45"/>
    </row>
    <row r="1414" spans="1:3">
      <c r="A1414" s="9"/>
      <c r="B1414" s="13"/>
      <c r="C1414" s="45"/>
    </row>
    <row r="1415" spans="1:3">
      <c r="A1415" s="9"/>
      <c r="B1415" s="13"/>
      <c r="C1415" s="45"/>
    </row>
    <row r="1416" spans="1:3">
      <c r="A1416" s="9"/>
      <c r="B1416" s="13"/>
      <c r="C1416" s="45"/>
    </row>
    <row r="1417" spans="1:3">
      <c r="A1417" s="9"/>
      <c r="B1417" s="13"/>
      <c r="C1417" s="45"/>
    </row>
    <row r="1418" spans="1:3">
      <c r="A1418" s="9"/>
      <c r="B1418" s="13"/>
      <c r="C1418" s="45"/>
    </row>
    <row r="1419" spans="1:3">
      <c r="A1419" s="9"/>
      <c r="B1419" s="13"/>
      <c r="C1419" s="45"/>
    </row>
    <row r="1420" spans="1:3">
      <c r="A1420" s="9"/>
      <c r="B1420" s="13"/>
      <c r="C1420" s="45"/>
    </row>
    <row r="1421" spans="1:3">
      <c r="A1421" s="9"/>
      <c r="B1421" s="13"/>
      <c r="C1421" s="45"/>
    </row>
    <row r="1422" spans="1:3">
      <c r="A1422" s="9"/>
      <c r="B1422" s="13"/>
      <c r="C1422" s="45"/>
    </row>
    <row r="1423" spans="1:3">
      <c r="A1423" s="9"/>
      <c r="B1423" s="13"/>
      <c r="C1423" s="45"/>
    </row>
    <row r="1424" spans="1:3">
      <c r="A1424" s="9"/>
      <c r="B1424" s="13"/>
      <c r="C1424" s="45"/>
    </row>
    <row r="1425" spans="1:3">
      <c r="A1425" s="9"/>
      <c r="B1425" s="13"/>
      <c r="C1425" s="45"/>
    </row>
    <row r="1426" spans="1:3">
      <c r="A1426" s="9"/>
      <c r="B1426" s="13"/>
      <c r="C1426" s="45"/>
    </row>
    <row r="1427" spans="1:3">
      <c r="A1427" s="9"/>
      <c r="B1427" s="13"/>
      <c r="C1427" s="45"/>
    </row>
    <row r="1428" spans="1:3">
      <c r="A1428" s="9"/>
      <c r="B1428" s="13"/>
      <c r="C1428" s="45"/>
    </row>
    <row r="1429" spans="1:3">
      <c r="A1429" s="9"/>
      <c r="B1429" s="13"/>
      <c r="C1429" s="45"/>
    </row>
    <row r="1430" spans="1:3">
      <c r="A1430" s="9"/>
      <c r="B1430" s="13"/>
      <c r="C1430" s="45"/>
    </row>
    <row r="1431" spans="1:3">
      <c r="A1431" s="9"/>
      <c r="B1431" s="13"/>
      <c r="C1431" s="45"/>
    </row>
    <row r="1432" spans="1:3">
      <c r="A1432" s="9"/>
      <c r="B1432" s="13"/>
      <c r="C1432" s="45"/>
    </row>
    <row r="1433" spans="1:3">
      <c r="A1433" s="9"/>
      <c r="B1433" s="13"/>
      <c r="C1433" s="45"/>
    </row>
    <row r="1434" spans="1:3">
      <c r="A1434" s="9"/>
      <c r="B1434" s="13"/>
      <c r="C1434" s="45"/>
    </row>
    <row r="1435" spans="1:3">
      <c r="A1435" s="9"/>
      <c r="B1435" s="13"/>
      <c r="C1435" s="45"/>
    </row>
    <row r="1436" spans="1:3">
      <c r="A1436" s="9"/>
      <c r="B1436" s="13"/>
      <c r="C1436" s="45"/>
    </row>
    <row r="1437" spans="1:3">
      <c r="A1437" s="9"/>
      <c r="B1437" s="13"/>
      <c r="C1437" s="45"/>
    </row>
    <row r="1438" spans="1:3">
      <c r="A1438" s="9"/>
      <c r="B1438" s="13"/>
      <c r="C1438" s="45"/>
    </row>
    <row r="1439" spans="1:3">
      <c r="A1439" s="9"/>
      <c r="B1439" s="13"/>
      <c r="C1439" s="45"/>
    </row>
    <row r="1440" spans="1:3">
      <c r="A1440" s="9"/>
      <c r="B1440" s="13"/>
      <c r="C1440" s="45"/>
    </row>
    <row r="1441" spans="1:3">
      <c r="A1441" s="9"/>
      <c r="B1441" s="13"/>
      <c r="C1441" s="45"/>
    </row>
    <row r="1442" spans="1:3">
      <c r="A1442" s="9"/>
      <c r="B1442" s="13"/>
      <c r="C1442" s="45"/>
    </row>
    <row r="1443" spans="1:3">
      <c r="A1443" s="9"/>
      <c r="B1443" s="13"/>
      <c r="C1443" s="45"/>
    </row>
    <row r="1444" spans="1:3">
      <c r="A1444" s="9"/>
      <c r="B1444" s="13"/>
      <c r="C1444" s="45"/>
    </row>
    <row r="1445" spans="1:3">
      <c r="A1445" s="9"/>
      <c r="B1445" s="13"/>
      <c r="C1445" s="45"/>
    </row>
    <row r="1446" spans="1:3">
      <c r="A1446" s="9"/>
      <c r="B1446" s="13"/>
      <c r="C1446" s="45"/>
    </row>
    <row r="1447" spans="1:3">
      <c r="A1447" s="9"/>
      <c r="B1447" s="13"/>
      <c r="C1447" s="45"/>
    </row>
    <row r="1448" spans="1:3">
      <c r="A1448" s="9"/>
      <c r="B1448" s="13"/>
      <c r="C1448" s="45"/>
    </row>
    <row r="1449" spans="1:3">
      <c r="A1449" s="9"/>
      <c r="B1449" s="13"/>
      <c r="C1449" s="45"/>
    </row>
    <row r="1450" spans="1:3">
      <c r="A1450" s="9"/>
      <c r="B1450" s="13"/>
      <c r="C1450" s="45"/>
    </row>
    <row r="1451" spans="1:3">
      <c r="A1451" s="9"/>
      <c r="B1451" s="13"/>
      <c r="C1451" s="45"/>
    </row>
    <row r="1452" spans="1:3">
      <c r="A1452" s="9"/>
      <c r="B1452" s="13"/>
      <c r="C1452" s="45"/>
    </row>
    <row r="1453" spans="1:3">
      <c r="A1453" s="9"/>
      <c r="B1453" s="13"/>
      <c r="C1453" s="45"/>
    </row>
    <row r="1454" spans="1:3">
      <c r="A1454" s="9"/>
      <c r="B1454" s="13"/>
      <c r="C1454" s="45"/>
    </row>
    <row r="1455" spans="1:3">
      <c r="A1455" s="9"/>
      <c r="B1455" s="13"/>
      <c r="C1455" s="45"/>
    </row>
    <row r="1456" spans="1:3">
      <c r="A1456" s="9"/>
      <c r="B1456" s="13"/>
      <c r="C1456" s="45"/>
    </row>
    <row r="1457" spans="1:3">
      <c r="A1457" s="9"/>
      <c r="B1457" s="13"/>
      <c r="C1457" s="45"/>
    </row>
    <row r="1458" spans="1:3">
      <c r="A1458" s="9"/>
      <c r="B1458" s="13"/>
      <c r="C1458" s="45"/>
    </row>
    <row r="1459" spans="1:3">
      <c r="A1459" s="9"/>
      <c r="B1459" s="13"/>
      <c r="C1459" s="45"/>
    </row>
    <row r="1460" spans="1:3">
      <c r="A1460" s="9"/>
      <c r="B1460" s="13"/>
      <c r="C1460" s="45"/>
    </row>
    <row r="1461" spans="1:3">
      <c r="A1461" s="9"/>
      <c r="B1461" s="13"/>
      <c r="C1461" s="45"/>
    </row>
    <row r="1462" spans="1:3">
      <c r="A1462" s="9"/>
      <c r="B1462" s="13"/>
      <c r="C1462" s="45"/>
    </row>
    <row r="1463" spans="1:3">
      <c r="A1463" s="9"/>
      <c r="B1463" s="13"/>
      <c r="C1463" s="45"/>
    </row>
    <row r="1464" spans="1:3">
      <c r="A1464" s="9"/>
      <c r="B1464" s="13"/>
      <c r="C1464" s="45"/>
    </row>
    <row r="1465" spans="1:3">
      <c r="A1465" s="9"/>
      <c r="B1465" s="13"/>
      <c r="C1465" s="45"/>
    </row>
    <row r="1466" spans="1:3">
      <c r="A1466" s="9"/>
      <c r="B1466" s="13"/>
      <c r="C1466" s="45"/>
    </row>
    <row r="1467" spans="1:3">
      <c r="A1467" s="9"/>
      <c r="B1467" s="13"/>
      <c r="C1467" s="45"/>
    </row>
    <row r="1468" spans="1:3">
      <c r="A1468" s="9"/>
      <c r="B1468" s="13"/>
      <c r="C1468" s="45"/>
    </row>
    <row r="1469" spans="1:3">
      <c r="A1469" s="9"/>
      <c r="B1469" s="13"/>
      <c r="C1469" s="45"/>
    </row>
    <row r="1470" spans="1:3">
      <c r="A1470" s="9"/>
      <c r="B1470" s="13"/>
      <c r="C1470" s="45"/>
    </row>
    <row r="1471" spans="1:3">
      <c r="A1471" s="9"/>
      <c r="B1471" s="13"/>
      <c r="C1471" s="45"/>
    </row>
    <row r="1472" spans="1:3">
      <c r="A1472" s="9"/>
      <c r="B1472" s="13"/>
      <c r="C1472" s="45"/>
    </row>
    <row r="1473" spans="1:3">
      <c r="A1473" s="9"/>
      <c r="B1473" s="13"/>
      <c r="C1473" s="45"/>
    </row>
    <row r="1474" spans="1:3">
      <c r="A1474" s="9"/>
      <c r="B1474" s="13"/>
      <c r="C1474" s="45"/>
    </row>
    <row r="1475" spans="1:3">
      <c r="A1475" s="9"/>
      <c r="B1475" s="13"/>
      <c r="C1475" s="45"/>
    </row>
    <row r="1476" spans="1:3">
      <c r="A1476" s="9"/>
      <c r="B1476" s="13"/>
      <c r="C1476" s="45"/>
    </row>
    <row r="1477" spans="1:3">
      <c r="A1477" s="9"/>
      <c r="B1477" s="13"/>
      <c r="C1477" s="45"/>
    </row>
    <row r="1478" spans="1:3">
      <c r="A1478" s="9"/>
      <c r="B1478" s="13"/>
      <c r="C1478" s="45"/>
    </row>
    <row r="1479" spans="1:3">
      <c r="A1479" s="9"/>
      <c r="B1479" s="13"/>
      <c r="C1479" s="45"/>
    </row>
    <row r="1480" spans="1:3">
      <c r="A1480" s="9"/>
      <c r="B1480" s="13"/>
      <c r="C1480" s="45"/>
    </row>
    <row r="1481" spans="1:3">
      <c r="A1481" s="9"/>
      <c r="B1481" s="13"/>
      <c r="C1481" s="45"/>
    </row>
    <row r="1482" spans="1:3">
      <c r="A1482" s="9"/>
      <c r="B1482" s="13"/>
      <c r="C1482" s="45"/>
    </row>
    <row r="1483" spans="1:3">
      <c r="A1483" s="9"/>
      <c r="B1483" s="13"/>
      <c r="C1483" s="45"/>
    </row>
    <row r="1484" spans="1:3">
      <c r="A1484" s="9"/>
      <c r="B1484" s="13"/>
      <c r="C1484" s="45"/>
    </row>
    <row r="1485" spans="1:3">
      <c r="A1485" s="9"/>
      <c r="B1485" s="13"/>
      <c r="C1485" s="45"/>
    </row>
    <row r="1486" spans="1:3">
      <c r="A1486" s="9"/>
      <c r="B1486" s="13"/>
      <c r="C1486" s="45"/>
    </row>
    <row r="1487" spans="1:3">
      <c r="A1487" s="9"/>
      <c r="B1487" s="13"/>
      <c r="C1487" s="45"/>
    </row>
    <row r="1488" spans="1:3">
      <c r="A1488" s="9"/>
      <c r="B1488" s="13"/>
      <c r="C1488" s="45"/>
    </row>
    <row r="1489" spans="1:3">
      <c r="A1489" s="9"/>
      <c r="B1489" s="13"/>
      <c r="C1489" s="45"/>
    </row>
    <row r="1490" spans="1:3">
      <c r="A1490" s="9"/>
      <c r="B1490" s="13"/>
      <c r="C1490" s="45"/>
    </row>
    <row r="1491" spans="1:3">
      <c r="A1491" s="9"/>
      <c r="B1491" s="13"/>
      <c r="C1491" s="45"/>
    </row>
    <row r="1492" spans="1:3">
      <c r="A1492" s="9"/>
      <c r="B1492" s="13"/>
      <c r="C1492" s="45"/>
    </row>
    <row r="1493" spans="1:3">
      <c r="A1493" s="9"/>
      <c r="B1493" s="13"/>
      <c r="C1493" s="45"/>
    </row>
    <row r="1494" spans="1:3">
      <c r="A1494" s="9"/>
      <c r="B1494" s="13"/>
      <c r="C1494" s="45"/>
    </row>
    <row r="1495" spans="1:3">
      <c r="A1495" s="9"/>
      <c r="B1495" s="13"/>
      <c r="C1495" s="45"/>
    </row>
    <row r="1496" spans="1:3">
      <c r="A1496" s="9"/>
      <c r="B1496" s="13"/>
      <c r="C1496" s="45"/>
    </row>
    <row r="1497" spans="1:3">
      <c r="A1497" s="9"/>
      <c r="B1497" s="13"/>
      <c r="C1497" s="45"/>
    </row>
    <row r="1498" spans="1:3">
      <c r="A1498" s="9"/>
      <c r="B1498" s="13"/>
      <c r="C1498" s="45"/>
    </row>
    <row r="1499" spans="1:3">
      <c r="A1499" s="9"/>
      <c r="B1499" s="13"/>
      <c r="C1499" s="45"/>
    </row>
    <row r="1500" spans="1:3">
      <c r="A1500" s="9"/>
      <c r="B1500" s="13"/>
      <c r="C1500" s="45"/>
    </row>
    <row r="1501" spans="1:3">
      <c r="A1501" s="9"/>
      <c r="B1501" s="13"/>
      <c r="C1501" s="45"/>
    </row>
    <row r="1502" spans="1:3">
      <c r="A1502" s="9"/>
      <c r="B1502" s="13"/>
      <c r="C1502" s="45"/>
    </row>
    <row r="1503" spans="1:3">
      <c r="A1503" s="9"/>
      <c r="B1503" s="13"/>
      <c r="C1503" s="45"/>
    </row>
    <row r="1504" spans="1:3">
      <c r="A1504" s="9"/>
      <c r="B1504" s="13"/>
      <c r="C1504" s="45"/>
    </row>
    <row r="1505" spans="1:3">
      <c r="A1505" s="9"/>
      <c r="B1505" s="13"/>
      <c r="C1505" s="45"/>
    </row>
    <row r="1506" spans="1:3">
      <c r="A1506" s="9"/>
      <c r="B1506" s="13"/>
      <c r="C1506" s="45"/>
    </row>
    <row r="1507" spans="1:3">
      <c r="A1507" s="9"/>
      <c r="B1507" s="13"/>
      <c r="C1507" s="45"/>
    </row>
    <row r="1508" spans="1:3">
      <c r="A1508" s="9"/>
      <c r="B1508" s="13"/>
      <c r="C1508" s="45"/>
    </row>
    <row r="1509" spans="1:3">
      <c r="A1509" s="9"/>
      <c r="B1509" s="13"/>
      <c r="C1509" s="45"/>
    </row>
    <row r="1510" spans="1:3">
      <c r="A1510" s="9"/>
      <c r="B1510" s="13"/>
      <c r="C1510" s="45"/>
    </row>
    <row r="1511" spans="1:3">
      <c r="A1511" s="9"/>
      <c r="B1511" s="13"/>
      <c r="C1511" s="45"/>
    </row>
    <row r="1512" spans="1:3">
      <c r="A1512" s="9"/>
      <c r="B1512" s="13"/>
      <c r="C1512" s="45"/>
    </row>
    <row r="1513" spans="1:3">
      <c r="A1513" s="9"/>
      <c r="B1513" s="13"/>
      <c r="C1513" s="45"/>
    </row>
    <row r="1514" spans="1:3">
      <c r="A1514" s="9"/>
      <c r="B1514" s="13"/>
      <c r="C1514" s="45"/>
    </row>
    <row r="1515" spans="1:3">
      <c r="A1515" s="9"/>
      <c r="B1515" s="13"/>
      <c r="C1515" s="45"/>
    </row>
    <row r="1516" spans="1:3">
      <c r="A1516" s="9"/>
      <c r="B1516" s="13"/>
      <c r="C1516" s="45"/>
    </row>
    <row r="1517" spans="1:3">
      <c r="A1517" s="9"/>
      <c r="B1517" s="13"/>
      <c r="C1517" s="45"/>
    </row>
    <row r="1518" spans="1:3">
      <c r="A1518" s="9"/>
      <c r="B1518" s="13"/>
      <c r="C1518" s="45"/>
    </row>
    <row r="1519" spans="1:3">
      <c r="A1519" s="9"/>
      <c r="B1519" s="13"/>
      <c r="C1519" s="45"/>
    </row>
    <row r="1520" spans="1:3">
      <c r="A1520" s="9"/>
      <c r="B1520" s="13"/>
      <c r="C1520" s="45"/>
    </row>
    <row r="1521" spans="1:3">
      <c r="A1521" s="9"/>
      <c r="B1521" s="13"/>
      <c r="C1521" s="45"/>
    </row>
    <row r="1522" spans="1:3">
      <c r="A1522" s="9"/>
      <c r="B1522" s="13"/>
      <c r="C1522" s="45"/>
    </row>
    <row r="1523" spans="1:3">
      <c r="A1523" s="9"/>
      <c r="B1523" s="13"/>
      <c r="C1523" s="45"/>
    </row>
    <row r="1524" spans="1:3">
      <c r="A1524" s="9"/>
      <c r="B1524" s="13"/>
      <c r="C1524" s="45"/>
    </row>
    <row r="1525" spans="1:3">
      <c r="A1525" s="9"/>
      <c r="B1525" s="13"/>
      <c r="C1525" s="45"/>
    </row>
    <row r="1526" spans="1:3">
      <c r="A1526" s="9"/>
      <c r="B1526" s="13"/>
      <c r="C1526" s="45"/>
    </row>
    <row r="1527" spans="1:3">
      <c r="A1527" s="9"/>
      <c r="B1527" s="13"/>
      <c r="C1527" s="45"/>
    </row>
    <row r="1528" spans="1:3">
      <c r="A1528" s="9"/>
      <c r="B1528" s="13"/>
      <c r="C1528" s="45"/>
    </row>
    <row r="1529" spans="1:3">
      <c r="A1529" s="9"/>
      <c r="B1529" s="13"/>
      <c r="C1529" s="45"/>
    </row>
    <row r="1530" spans="1:3">
      <c r="A1530" s="9"/>
      <c r="B1530" s="13"/>
      <c r="C1530" s="45"/>
    </row>
    <row r="1531" spans="1:3">
      <c r="A1531" s="9"/>
      <c r="B1531" s="13"/>
      <c r="C1531" s="45"/>
    </row>
    <row r="1532" spans="1:3">
      <c r="A1532" s="9"/>
      <c r="B1532" s="13"/>
      <c r="C1532" s="45"/>
    </row>
    <row r="1533" spans="1:3">
      <c r="A1533" s="9"/>
      <c r="B1533" s="13"/>
      <c r="C1533" s="45"/>
    </row>
    <row r="1534" spans="1:3">
      <c r="A1534" s="9"/>
      <c r="B1534" s="13"/>
      <c r="C1534" s="45"/>
    </row>
    <row r="1535" spans="1:3">
      <c r="A1535" s="9"/>
      <c r="B1535" s="13"/>
      <c r="C1535" s="45"/>
    </row>
    <row r="1536" spans="1:3">
      <c r="A1536" s="9"/>
      <c r="B1536" s="13"/>
      <c r="C1536" s="45"/>
    </row>
    <row r="1537" spans="1:3">
      <c r="A1537" s="9"/>
      <c r="B1537" s="13"/>
      <c r="C1537" s="45"/>
    </row>
    <row r="1538" spans="1:3">
      <c r="A1538" s="9"/>
      <c r="B1538" s="13"/>
      <c r="C1538" s="45"/>
    </row>
    <row r="1539" spans="1:3">
      <c r="A1539" s="9"/>
      <c r="B1539" s="13"/>
      <c r="C1539" s="45"/>
    </row>
    <row r="1540" spans="1:3">
      <c r="A1540" s="9"/>
      <c r="B1540" s="13"/>
      <c r="C1540" s="45"/>
    </row>
    <row r="1541" spans="1:3">
      <c r="A1541" s="9"/>
      <c r="B1541" s="13"/>
      <c r="C1541" s="45"/>
    </row>
    <row r="1542" spans="1:3">
      <c r="A1542" s="9"/>
      <c r="B1542" s="13"/>
      <c r="C1542" s="45"/>
    </row>
    <row r="1543" spans="1:3">
      <c r="A1543" s="9"/>
      <c r="B1543" s="13"/>
      <c r="C1543" s="45"/>
    </row>
    <row r="1544" spans="1:3">
      <c r="A1544" s="9"/>
      <c r="B1544" s="13"/>
      <c r="C1544" s="45"/>
    </row>
    <row r="1545" spans="1:3">
      <c r="A1545" s="9"/>
      <c r="B1545" s="13"/>
      <c r="C1545" s="45"/>
    </row>
    <row r="1546" spans="1:3">
      <c r="A1546" s="9"/>
      <c r="B1546" s="13"/>
      <c r="C1546" s="45"/>
    </row>
    <row r="1547" spans="1:3">
      <c r="A1547" s="9"/>
      <c r="B1547" s="13"/>
      <c r="C1547" s="45"/>
    </row>
    <row r="1548" spans="1:3">
      <c r="A1548" s="9"/>
      <c r="B1548" s="13"/>
      <c r="C1548" s="45"/>
    </row>
    <row r="1549" spans="1:3">
      <c r="A1549" s="9"/>
      <c r="B1549" s="13"/>
      <c r="C1549" s="45"/>
    </row>
    <row r="1550" spans="1:3">
      <c r="A1550" s="9"/>
      <c r="B1550" s="13"/>
      <c r="C1550" s="45"/>
    </row>
    <row r="1551" spans="1:3">
      <c r="A1551" s="9"/>
      <c r="B1551" s="13"/>
      <c r="C1551" s="45"/>
    </row>
    <row r="1552" spans="1:3">
      <c r="A1552" s="9"/>
      <c r="B1552" s="13"/>
      <c r="C1552" s="45"/>
    </row>
    <row r="1553" spans="1:3">
      <c r="A1553" s="9"/>
      <c r="B1553" s="13"/>
      <c r="C1553" s="45"/>
    </row>
    <row r="1554" spans="1:3">
      <c r="A1554" s="9"/>
      <c r="B1554" s="13"/>
      <c r="C1554" s="45"/>
    </row>
    <row r="1555" spans="1:3">
      <c r="A1555" s="9"/>
      <c r="B1555" s="13"/>
      <c r="C1555" s="45"/>
    </row>
    <row r="1556" spans="1:3">
      <c r="A1556" s="9"/>
      <c r="B1556" s="13"/>
      <c r="C1556" s="45"/>
    </row>
    <row r="1557" spans="1:3">
      <c r="A1557" s="9"/>
      <c r="B1557" s="13"/>
      <c r="C1557" s="45"/>
    </row>
    <row r="1558" spans="1:3">
      <c r="A1558" s="9"/>
      <c r="B1558" s="13"/>
      <c r="C1558" s="45"/>
    </row>
    <row r="1559" spans="1:3">
      <c r="A1559" s="9"/>
      <c r="B1559" s="13"/>
      <c r="C1559" s="45"/>
    </row>
    <row r="1560" spans="1:3">
      <c r="A1560" s="9"/>
      <c r="B1560" s="13"/>
      <c r="C1560" s="45"/>
    </row>
    <row r="1561" spans="1:3">
      <c r="A1561" s="9"/>
      <c r="B1561" s="13"/>
      <c r="C1561" s="45"/>
    </row>
    <row r="1562" spans="1:3">
      <c r="A1562" s="9"/>
      <c r="B1562" s="13"/>
      <c r="C1562" s="45"/>
    </row>
    <row r="1563" spans="1:3">
      <c r="A1563" s="9"/>
      <c r="B1563" s="13"/>
      <c r="C1563" s="45"/>
    </row>
    <row r="1564" spans="1:3">
      <c r="A1564" s="9"/>
      <c r="B1564" s="13"/>
      <c r="C1564" s="45"/>
    </row>
    <row r="1565" spans="1:3">
      <c r="A1565" s="9"/>
      <c r="B1565" s="13"/>
      <c r="C1565" s="45"/>
    </row>
    <row r="1566" spans="1:3">
      <c r="A1566" s="9"/>
      <c r="B1566" s="13"/>
      <c r="C1566" s="45"/>
    </row>
    <row r="1567" spans="1:3">
      <c r="A1567" s="9"/>
      <c r="B1567" s="13"/>
      <c r="C1567" s="45"/>
    </row>
    <row r="1568" spans="1:3">
      <c r="A1568" s="9"/>
      <c r="B1568" s="13"/>
      <c r="C1568" s="45"/>
    </row>
    <row r="1569" spans="1:3">
      <c r="A1569" s="9"/>
      <c r="B1569" s="13"/>
      <c r="C1569" s="45"/>
    </row>
    <row r="1570" spans="1:3">
      <c r="A1570" s="9"/>
      <c r="B1570" s="13"/>
      <c r="C1570" s="45"/>
    </row>
    <row r="1571" spans="1:3">
      <c r="A1571" s="9"/>
      <c r="B1571" s="13"/>
      <c r="C1571" s="45"/>
    </row>
    <row r="1572" spans="1:3">
      <c r="A1572" s="9"/>
      <c r="B1572" s="13"/>
      <c r="C1572" s="45"/>
    </row>
    <row r="1573" spans="1:3">
      <c r="A1573" s="9"/>
      <c r="B1573" s="13"/>
      <c r="C1573" s="45"/>
    </row>
    <row r="1574" spans="1:3">
      <c r="A1574" s="9"/>
      <c r="B1574" s="13"/>
      <c r="C1574" s="45"/>
    </row>
    <row r="1575" spans="1:3">
      <c r="A1575" s="9"/>
      <c r="B1575" s="13"/>
      <c r="C1575" s="45"/>
    </row>
    <row r="1576" spans="1:3">
      <c r="A1576" s="9"/>
      <c r="B1576" s="13"/>
      <c r="C1576" s="45"/>
    </row>
    <row r="1577" spans="1:3">
      <c r="A1577" s="9"/>
      <c r="B1577" s="13"/>
      <c r="C1577" s="45"/>
    </row>
    <row r="1578" spans="1:3">
      <c r="A1578" s="9"/>
      <c r="B1578" s="13"/>
      <c r="C1578" s="45"/>
    </row>
    <row r="1579" spans="1:3">
      <c r="A1579" s="9"/>
      <c r="B1579" s="13"/>
      <c r="C1579" s="45"/>
    </row>
    <row r="1580" spans="1:3">
      <c r="A1580" s="9"/>
      <c r="B1580" s="13"/>
      <c r="C1580" s="45"/>
    </row>
    <row r="1581" spans="1:3">
      <c r="A1581" s="9"/>
      <c r="B1581" s="13"/>
      <c r="C1581" s="45"/>
    </row>
    <row r="1582" spans="1:3">
      <c r="A1582" s="9"/>
      <c r="B1582" s="13"/>
      <c r="C1582" s="45"/>
    </row>
    <row r="1583" spans="1:3">
      <c r="A1583" s="9"/>
      <c r="B1583" s="13"/>
      <c r="C1583" s="45"/>
    </row>
    <row r="1584" spans="1:3">
      <c r="A1584" s="9"/>
      <c r="B1584" s="13"/>
      <c r="C1584" s="45"/>
    </row>
    <row r="1585" spans="1:3">
      <c r="A1585" s="9"/>
      <c r="B1585" s="13"/>
      <c r="C1585" s="45"/>
    </row>
    <row r="1586" spans="1:3">
      <c r="A1586" s="9"/>
      <c r="B1586" s="13"/>
      <c r="C1586" s="45"/>
    </row>
    <row r="1587" spans="1:3">
      <c r="A1587" s="9"/>
      <c r="B1587" s="13"/>
      <c r="C1587" s="45"/>
    </row>
    <row r="1588" spans="1:3">
      <c r="A1588" s="9"/>
      <c r="B1588" s="13"/>
      <c r="C1588" s="45"/>
    </row>
    <row r="1589" spans="1:3">
      <c r="A1589" s="9"/>
      <c r="B1589" s="13"/>
      <c r="C1589" s="45"/>
    </row>
    <row r="1590" spans="1:3">
      <c r="A1590" s="9"/>
      <c r="B1590" s="13"/>
      <c r="C1590" s="45"/>
    </row>
    <row r="1591" spans="1:3">
      <c r="A1591" s="9"/>
      <c r="B1591" s="13"/>
      <c r="C1591" s="45"/>
    </row>
    <row r="1592" spans="1:3">
      <c r="A1592" s="9"/>
      <c r="B1592" s="13"/>
      <c r="C1592" s="45"/>
    </row>
    <row r="1593" spans="1:3">
      <c r="A1593" s="9"/>
      <c r="B1593" s="13"/>
      <c r="C1593" s="45"/>
    </row>
    <row r="1594" spans="1:3">
      <c r="A1594" s="9"/>
      <c r="B1594" s="13"/>
      <c r="C1594" s="45"/>
    </row>
    <row r="1595" spans="1:3">
      <c r="A1595" s="9"/>
      <c r="B1595" s="13"/>
      <c r="C1595" s="45"/>
    </row>
    <row r="1596" spans="1:3">
      <c r="A1596" s="9"/>
      <c r="B1596" s="13"/>
      <c r="C1596" s="45"/>
    </row>
    <row r="1597" spans="1:3">
      <c r="A1597" s="9"/>
      <c r="B1597" s="13"/>
      <c r="C1597" s="45"/>
    </row>
    <row r="1598" spans="1:3">
      <c r="A1598" s="9"/>
      <c r="B1598" s="13"/>
      <c r="C1598" s="45"/>
    </row>
    <row r="1599" spans="1:3">
      <c r="A1599" s="9"/>
      <c r="B1599" s="13"/>
      <c r="C1599" s="45"/>
    </row>
    <row r="1600" spans="1:3">
      <c r="A1600" s="9"/>
      <c r="B1600" s="13"/>
      <c r="C1600" s="45"/>
    </row>
    <row r="1601" spans="1:3">
      <c r="A1601" s="9"/>
      <c r="B1601" s="13"/>
      <c r="C1601" s="45"/>
    </row>
    <row r="1602" spans="1:3">
      <c r="A1602" s="9"/>
      <c r="B1602" s="13"/>
      <c r="C1602" s="45"/>
    </row>
    <row r="1603" spans="1:3">
      <c r="A1603" s="9"/>
      <c r="B1603" s="13"/>
      <c r="C1603" s="45"/>
    </row>
    <row r="1604" spans="1:3">
      <c r="A1604" s="9"/>
      <c r="B1604" s="13"/>
      <c r="C1604" s="45"/>
    </row>
    <row r="1605" spans="1:3">
      <c r="A1605" s="9"/>
      <c r="B1605" s="13"/>
      <c r="C1605" s="45"/>
    </row>
    <row r="1606" spans="1:3">
      <c r="A1606" s="9"/>
      <c r="B1606" s="13"/>
      <c r="C1606" s="45"/>
    </row>
    <row r="1607" spans="1:3">
      <c r="A1607" s="9"/>
      <c r="B1607" s="13"/>
      <c r="C1607" s="45"/>
    </row>
    <row r="1608" spans="1:3">
      <c r="A1608" s="9"/>
      <c r="B1608" s="13"/>
      <c r="C1608" s="45"/>
    </row>
    <row r="1609" spans="1:3">
      <c r="A1609" s="9"/>
      <c r="B1609" s="13"/>
      <c r="C1609" s="45"/>
    </row>
    <row r="1610" spans="1:3">
      <c r="A1610" s="9"/>
      <c r="B1610" s="13"/>
      <c r="C1610" s="45"/>
    </row>
    <row r="1611" spans="1:3">
      <c r="A1611" s="9"/>
      <c r="B1611" s="13"/>
      <c r="C1611" s="45"/>
    </row>
    <row r="1612" spans="1:3">
      <c r="A1612" s="9"/>
      <c r="B1612" s="13"/>
      <c r="C1612" s="45"/>
    </row>
    <row r="1613" spans="1:3">
      <c r="A1613" s="9"/>
      <c r="B1613" s="13"/>
      <c r="C1613" s="45"/>
    </row>
    <row r="1614" spans="1:3">
      <c r="A1614" s="9"/>
      <c r="B1614" s="13"/>
      <c r="C1614" s="45"/>
    </row>
    <row r="1615" spans="1:3">
      <c r="A1615" s="9"/>
      <c r="B1615" s="13"/>
      <c r="C1615" s="45"/>
    </row>
    <row r="1616" spans="1:3">
      <c r="A1616" s="9"/>
      <c r="B1616" s="13"/>
      <c r="C1616" s="45"/>
    </row>
    <row r="1617" spans="1:3">
      <c r="A1617" s="9"/>
      <c r="B1617" s="13"/>
      <c r="C1617" s="45"/>
    </row>
    <row r="1618" spans="1:3">
      <c r="A1618" s="9"/>
      <c r="B1618" s="13"/>
      <c r="C1618" s="45"/>
    </row>
    <row r="1619" spans="1:3">
      <c r="A1619" s="9"/>
      <c r="B1619" s="13"/>
      <c r="C1619" s="45"/>
    </row>
    <row r="1620" spans="1:3">
      <c r="A1620" s="9"/>
      <c r="B1620" s="13"/>
      <c r="C1620" s="45"/>
    </row>
    <row r="1621" spans="1:3">
      <c r="A1621" s="9"/>
      <c r="B1621" s="13"/>
      <c r="C1621" s="45"/>
    </row>
    <row r="1622" spans="1:3">
      <c r="A1622" s="9"/>
      <c r="B1622" s="13"/>
      <c r="C1622" s="45"/>
    </row>
    <row r="1623" spans="1:3">
      <c r="A1623" s="9"/>
      <c r="B1623" s="13"/>
      <c r="C1623" s="45"/>
    </row>
    <row r="1624" spans="1:3">
      <c r="A1624" s="9"/>
      <c r="B1624" s="13"/>
      <c r="C1624" s="45"/>
    </row>
    <row r="1625" spans="1:3">
      <c r="A1625" s="9"/>
      <c r="B1625" s="13"/>
      <c r="C1625" s="45"/>
    </row>
    <row r="1626" spans="1:3">
      <c r="A1626" s="9"/>
      <c r="B1626" s="13"/>
      <c r="C1626" s="45"/>
    </row>
    <row r="1627" spans="1:3">
      <c r="A1627" s="9"/>
      <c r="B1627" s="13"/>
      <c r="C1627" s="45"/>
    </row>
    <row r="1628" spans="1:3">
      <c r="A1628" s="9"/>
      <c r="B1628" s="13"/>
      <c r="C1628" s="45"/>
    </row>
    <row r="1629" spans="1:3">
      <c r="A1629" s="9"/>
      <c r="B1629" s="13"/>
      <c r="C1629" s="45"/>
    </row>
    <row r="1630" spans="1:3">
      <c r="A1630" s="9"/>
      <c r="B1630" s="13"/>
      <c r="C1630" s="45"/>
    </row>
    <row r="1631" spans="1:3">
      <c r="A1631" s="9"/>
      <c r="B1631" s="13"/>
      <c r="C1631" s="45"/>
    </row>
    <row r="1632" spans="1:3">
      <c r="A1632" s="9"/>
      <c r="B1632" s="13"/>
      <c r="C1632" s="45"/>
    </row>
    <row r="1633" spans="1:3">
      <c r="A1633" s="9"/>
      <c r="B1633" s="13"/>
      <c r="C1633" s="45"/>
    </row>
    <row r="1634" spans="1:3">
      <c r="A1634" s="9"/>
      <c r="B1634" s="13"/>
      <c r="C1634" s="45"/>
    </row>
    <row r="1635" spans="1:3">
      <c r="A1635" s="9"/>
      <c r="B1635" s="13"/>
      <c r="C1635" s="45"/>
    </row>
    <row r="1636" spans="1:3">
      <c r="A1636" s="9"/>
      <c r="B1636" s="13"/>
      <c r="C1636" s="45"/>
    </row>
    <row r="1637" spans="1:3">
      <c r="A1637" s="9"/>
      <c r="B1637" s="13"/>
      <c r="C1637" s="45"/>
    </row>
    <row r="1638" spans="1:3">
      <c r="A1638" s="9"/>
      <c r="B1638" s="13"/>
      <c r="C1638" s="45"/>
    </row>
    <row r="1639" spans="1:3">
      <c r="A1639" s="9"/>
      <c r="B1639" s="13"/>
      <c r="C1639" s="45"/>
    </row>
    <row r="1640" spans="1:3">
      <c r="A1640" s="9"/>
      <c r="B1640" s="13"/>
      <c r="C1640" s="45"/>
    </row>
    <row r="1641" spans="1:3">
      <c r="A1641" s="9"/>
      <c r="B1641" s="13"/>
      <c r="C1641" s="45"/>
    </row>
    <row r="1642" spans="1:3">
      <c r="A1642" s="9"/>
      <c r="B1642" s="13"/>
      <c r="C1642" s="45"/>
    </row>
    <row r="1643" spans="1:3">
      <c r="A1643" s="9"/>
      <c r="B1643" s="13"/>
      <c r="C1643" s="45"/>
    </row>
    <row r="1644" spans="1:3">
      <c r="A1644" s="9"/>
      <c r="B1644" s="13"/>
      <c r="C1644" s="45"/>
    </row>
    <row r="1645" spans="1:3">
      <c r="A1645" s="9"/>
      <c r="B1645" s="13"/>
      <c r="C1645" s="45"/>
    </row>
    <row r="1646" spans="1:3">
      <c r="A1646" s="9"/>
      <c r="B1646" s="13"/>
      <c r="C1646" s="45"/>
    </row>
    <row r="1647" spans="1:3">
      <c r="A1647" s="9"/>
      <c r="B1647" s="13"/>
      <c r="C1647" s="45"/>
    </row>
    <row r="1648" spans="1:3">
      <c r="A1648" s="9"/>
      <c r="B1648" s="13"/>
      <c r="C1648" s="45"/>
    </row>
    <row r="1649" spans="1:3">
      <c r="A1649" s="9"/>
      <c r="B1649" s="13"/>
      <c r="C1649" s="45"/>
    </row>
    <row r="1650" spans="1:3">
      <c r="A1650" s="9"/>
      <c r="B1650" s="13"/>
      <c r="C1650" s="45"/>
    </row>
    <row r="1651" spans="1:3">
      <c r="A1651" s="9"/>
      <c r="B1651" s="13"/>
      <c r="C1651" s="45"/>
    </row>
    <row r="1652" spans="1:3">
      <c r="A1652" s="9"/>
      <c r="B1652" s="13"/>
      <c r="C1652" s="45"/>
    </row>
    <row r="1653" spans="1:3">
      <c r="A1653" s="9"/>
      <c r="B1653" s="13"/>
      <c r="C1653" s="45"/>
    </row>
    <row r="1654" spans="1:3">
      <c r="A1654" s="9"/>
      <c r="B1654" s="13"/>
      <c r="C1654" s="45"/>
    </row>
    <row r="1655" spans="1:3">
      <c r="A1655" s="9"/>
      <c r="B1655" s="13"/>
      <c r="C1655" s="45"/>
    </row>
    <row r="1656" spans="1:3">
      <c r="A1656" s="9"/>
      <c r="B1656" s="13"/>
      <c r="C1656" s="45"/>
    </row>
    <row r="1657" spans="1:3">
      <c r="A1657" s="9"/>
      <c r="B1657" s="13"/>
      <c r="C1657" s="45"/>
    </row>
    <row r="1658" spans="1:3">
      <c r="A1658" s="9"/>
      <c r="B1658" s="13"/>
      <c r="C1658" s="45"/>
    </row>
    <row r="1659" spans="1:3">
      <c r="A1659" s="9"/>
      <c r="B1659" s="13"/>
      <c r="C1659" s="45"/>
    </row>
    <row r="1660" spans="1:3">
      <c r="A1660" s="9"/>
      <c r="B1660" s="13"/>
      <c r="C1660" s="45"/>
    </row>
    <row r="1661" spans="1:3">
      <c r="A1661" s="9"/>
      <c r="B1661" s="13"/>
      <c r="C1661" s="45"/>
    </row>
    <row r="1662" spans="1:3">
      <c r="A1662" s="9"/>
      <c r="B1662" s="13"/>
      <c r="C1662" s="45"/>
    </row>
    <row r="1663" spans="1:3">
      <c r="A1663" s="9"/>
      <c r="B1663" s="13"/>
      <c r="C1663" s="45"/>
    </row>
    <row r="1664" spans="1:3">
      <c r="A1664" s="9"/>
      <c r="B1664" s="13"/>
      <c r="C1664" s="45"/>
    </row>
    <row r="1665" spans="1:3">
      <c r="A1665" s="9"/>
      <c r="B1665" s="13"/>
      <c r="C1665" s="45"/>
    </row>
    <row r="1666" spans="1:3">
      <c r="A1666" s="9"/>
      <c r="B1666" s="13"/>
      <c r="C1666" s="45"/>
    </row>
    <row r="1667" spans="1:3">
      <c r="A1667" s="9"/>
      <c r="B1667" s="13"/>
      <c r="C1667" s="45"/>
    </row>
    <row r="1668" spans="1:3">
      <c r="A1668" s="9"/>
      <c r="B1668" s="13"/>
      <c r="C1668" s="45"/>
    </row>
    <row r="1669" spans="1:3">
      <c r="A1669" s="9"/>
      <c r="B1669" s="13"/>
      <c r="C1669" s="45"/>
    </row>
    <row r="1670" spans="1:3">
      <c r="A1670" s="9"/>
      <c r="B1670" s="13"/>
      <c r="C1670" s="45"/>
    </row>
    <row r="1671" spans="1:3">
      <c r="A1671" s="9"/>
      <c r="B1671" s="13"/>
      <c r="C1671" s="45"/>
    </row>
    <row r="1672" spans="1:3">
      <c r="A1672" s="9"/>
      <c r="B1672" s="13"/>
      <c r="C1672" s="45"/>
    </row>
    <row r="1673" spans="1:3">
      <c r="A1673" s="9"/>
      <c r="B1673" s="13"/>
      <c r="C1673" s="45"/>
    </row>
    <row r="1674" spans="1:3">
      <c r="A1674" s="9"/>
      <c r="B1674" s="13"/>
      <c r="C1674" s="45"/>
    </row>
    <row r="1675" spans="1:3">
      <c r="A1675" s="9"/>
      <c r="B1675" s="13"/>
      <c r="C1675" s="45"/>
    </row>
    <row r="1676" spans="1:3">
      <c r="A1676" s="9"/>
      <c r="B1676" s="13"/>
      <c r="C1676" s="45"/>
    </row>
    <row r="1677" spans="1:3">
      <c r="A1677" s="9"/>
      <c r="B1677" s="13"/>
      <c r="C1677" s="45"/>
    </row>
    <row r="1678" spans="1:3">
      <c r="A1678" s="9"/>
      <c r="B1678" s="13"/>
      <c r="C1678" s="45"/>
    </row>
    <row r="1679" spans="1:3">
      <c r="A1679" s="9"/>
      <c r="B1679" s="13"/>
      <c r="C1679" s="45"/>
    </row>
    <row r="1680" spans="1:3">
      <c r="A1680" s="9"/>
      <c r="B1680" s="13"/>
      <c r="C1680" s="45"/>
    </row>
    <row r="1681" spans="1:3">
      <c r="A1681" s="9"/>
      <c r="B1681" s="13"/>
      <c r="C1681" s="45"/>
    </row>
    <row r="1682" spans="1:3">
      <c r="A1682" s="9"/>
      <c r="B1682" s="13"/>
      <c r="C1682" s="45"/>
    </row>
    <row r="1683" spans="1:3">
      <c r="A1683" s="9"/>
      <c r="B1683" s="13"/>
      <c r="C1683" s="45"/>
    </row>
    <row r="1684" spans="1:3">
      <c r="A1684" s="9"/>
      <c r="B1684" s="13"/>
      <c r="C1684" s="45"/>
    </row>
    <row r="1685" spans="1:3">
      <c r="A1685" s="9"/>
      <c r="B1685" s="13"/>
      <c r="C1685" s="45"/>
    </row>
    <row r="1686" spans="1:3">
      <c r="A1686" s="9"/>
      <c r="B1686" s="13"/>
      <c r="C1686" s="45"/>
    </row>
    <row r="1687" spans="1:3">
      <c r="A1687" s="9"/>
      <c r="B1687" s="13"/>
      <c r="C1687" s="45"/>
    </row>
    <row r="1688" spans="1:3">
      <c r="A1688" s="9"/>
      <c r="B1688" s="13"/>
      <c r="C1688" s="45"/>
    </row>
    <row r="1689" spans="1:3">
      <c r="A1689" s="9"/>
      <c r="B1689" s="13"/>
      <c r="C1689" s="45"/>
    </row>
    <row r="1690" spans="1:3">
      <c r="A1690" s="9"/>
      <c r="B1690" s="13"/>
      <c r="C1690" s="45"/>
    </row>
    <row r="1691" spans="1:3">
      <c r="A1691" s="9"/>
      <c r="B1691" s="13"/>
      <c r="C1691" s="45"/>
    </row>
    <row r="1692" spans="1:3">
      <c r="A1692" s="9"/>
      <c r="B1692" s="13"/>
      <c r="C1692" s="45"/>
    </row>
    <row r="1693" spans="1:3">
      <c r="A1693" s="9"/>
      <c r="B1693" s="13"/>
      <c r="C1693" s="45"/>
    </row>
    <row r="1694" spans="1:3">
      <c r="A1694" s="9"/>
      <c r="B1694" s="13"/>
      <c r="C1694" s="45"/>
    </row>
    <row r="1695" spans="1:3">
      <c r="A1695" s="9"/>
      <c r="B1695" s="13"/>
      <c r="C1695" s="45"/>
    </row>
    <row r="1696" spans="1:3">
      <c r="A1696" s="9"/>
      <c r="B1696" s="13"/>
      <c r="C1696" s="45"/>
    </row>
    <row r="1697" spans="1:3">
      <c r="A1697" s="9"/>
      <c r="B1697" s="13"/>
      <c r="C1697" s="45"/>
    </row>
    <row r="1698" spans="1:3">
      <c r="A1698" s="9"/>
      <c r="B1698" s="13"/>
      <c r="C1698" s="45"/>
    </row>
    <row r="1699" spans="1:3">
      <c r="A1699" s="9"/>
      <c r="B1699" s="13"/>
      <c r="C1699" s="45"/>
    </row>
    <row r="1700" spans="1:3">
      <c r="A1700" s="9"/>
      <c r="B1700" s="13"/>
      <c r="C1700" s="45"/>
    </row>
    <row r="1701" spans="1:3">
      <c r="A1701" s="9"/>
      <c r="B1701" s="13"/>
      <c r="C1701" s="45"/>
    </row>
    <row r="1702" spans="1:3">
      <c r="A1702" s="9"/>
      <c r="B1702" s="13"/>
      <c r="C1702" s="45"/>
    </row>
    <row r="1703" spans="1:3">
      <c r="A1703" s="9"/>
      <c r="B1703" s="13"/>
      <c r="C1703" s="45"/>
    </row>
    <row r="1704" spans="1:3">
      <c r="A1704" s="9"/>
      <c r="B1704" s="13"/>
      <c r="C1704" s="45"/>
    </row>
    <row r="1705" spans="1:3">
      <c r="A1705" s="9"/>
      <c r="B1705" s="13"/>
      <c r="C1705" s="45"/>
    </row>
    <row r="1706" spans="1:3">
      <c r="A1706" s="9"/>
      <c r="B1706" s="13"/>
      <c r="C1706" s="45"/>
    </row>
    <row r="1707" spans="1:3">
      <c r="A1707" s="9"/>
      <c r="B1707" s="13"/>
      <c r="C1707" s="45"/>
    </row>
    <row r="1708" spans="1:3">
      <c r="A1708" s="9"/>
      <c r="B1708" s="13"/>
      <c r="C1708" s="45"/>
    </row>
    <row r="1709" spans="1:3">
      <c r="A1709" s="9"/>
      <c r="B1709" s="13"/>
      <c r="C1709" s="45"/>
    </row>
    <row r="1710" spans="1:3">
      <c r="A1710" s="9"/>
      <c r="B1710" s="13"/>
      <c r="C1710" s="45"/>
    </row>
    <row r="1711" spans="1:3">
      <c r="A1711" s="9"/>
      <c r="B1711" s="13"/>
      <c r="C1711" s="45"/>
    </row>
    <row r="1712" spans="1:3">
      <c r="A1712" s="9"/>
      <c r="B1712" s="13"/>
      <c r="C1712" s="45"/>
    </row>
    <row r="1713" spans="1:3">
      <c r="A1713" s="9"/>
      <c r="B1713" s="13"/>
      <c r="C1713" s="45"/>
    </row>
    <row r="1714" spans="1:3">
      <c r="A1714" s="9"/>
      <c r="B1714" s="13"/>
      <c r="C1714" s="45"/>
    </row>
    <row r="1715" spans="1:3">
      <c r="A1715" s="9"/>
      <c r="B1715" s="13"/>
      <c r="C1715" s="45"/>
    </row>
    <row r="1716" spans="1:3">
      <c r="A1716" s="9"/>
      <c r="B1716" s="13"/>
      <c r="C1716" s="45"/>
    </row>
    <row r="1717" spans="1:3">
      <c r="A1717" s="9"/>
      <c r="B1717" s="13"/>
      <c r="C1717" s="45"/>
    </row>
    <row r="1718" spans="1:3">
      <c r="A1718" s="9"/>
      <c r="B1718" s="13"/>
      <c r="C1718" s="45"/>
    </row>
    <row r="1719" spans="1:3">
      <c r="A1719" s="9"/>
      <c r="B1719" s="13"/>
      <c r="C1719" s="45"/>
    </row>
    <row r="1720" spans="1:3">
      <c r="A1720" s="9"/>
      <c r="B1720" s="13"/>
      <c r="C1720" s="45"/>
    </row>
    <row r="1721" spans="1:3">
      <c r="A1721" s="9"/>
      <c r="B1721" s="13"/>
      <c r="C1721" s="45"/>
    </row>
    <row r="1722" spans="1:3">
      <c r="A1722" s="9"/>
      <c r="B1722" s="13"/>
      <c r="C1722" s="45"/>
    </row>
    <row r="1723" spans="1:3">
      <c r="A1723" s="9"/>
      <c r="B1723" s="13"/>
      <c r="C1723" s="45"/>
    </row>
    <row r="1724" spans="1:3">
      <c r="A1724" s="9"/>
      <c r="B1724" s="13"/>
      <c r="C1724" s="45"/>
    </row>
    <row r="1725" spans="1:3">
      <c r="A1725" s="9"/>
      <c r="B1725" s="13"/>
      <c r="C1725" s="45"/>
    </row>
    <row r="1726" spans="1:3">
      <c r="A1726" s="9"/>
      <c r="B1726" s="13"/>
      <c r="C1726" s="45"/>
    </row>
    <row r="1727" spans="1:3">
      <c r="A1727" s="9"/>
      <c r="B1727" s="13"/>
      <c r="C1727" s="45"/>
    </row>
    <row r="1728" spans="1:3">
      <c r="A1728" s="9"/>
      <c r="B1728" s="13"/>
      <c r="C1728" s="45"/>
    </row>
    <row r="1729" spans="1:3">
      <c r="A1729" s="9"/>
      <c r="B1729" s="13"/>
      <c r="C1729" s="45"/>
    </row>
    <row r="1730" spans="1:3">
      <c r="A1730" s="9"/>
      <c r="B1730" s="13"/>
      <c r="C1730" s="45"/>
    </row>
    <row r="1731" spans="1:3">
      <c r="A1731" s="9"/>
      <c r="C1731" s="45"/>
    </row>
    <row r="1732" spans="1:3">
      <c r="C1732" s="45"/>
    </row>
    <row r="1733" spans="1:3">
      <c r="C1733" s="45"/>
    </row>
    <row r="1734" spans="1:3">
      <c r="C1734" s="45"/>
    </row>
    <row r="1735" spans="1:3">
      <c r="C1735" s="45"/>
    </row>
    <row r="1736" spans="1:3">
      <c r="C1736" s="45"/>
    </row>
    <row r="1737" spans="1:3">
      <c r="C1737" s="45"/>
    </row>
    <row r="1738" spans="1:3">
      <c r="C1738" s="45"/>
    </row>
    <row r="1739" spans="1:3">
      <c r="C1739" s="45"/>
    </row>
    <row r="1740" spans="1:3">
      <c r="C1740" s="45"/>
    </row>
    <row r="1741" spans="1:3">
      <c r="C1741" s="45"/>
    </row>
    <row r="1742" spans="1:3">
      <c r="C1742" s="45"/>
    </row>
    <row r="1743" spans="1:3">
      <c r="C1743" s="45"/>
    </row>
    <row r="1744" spans="1:3">
      <c r="C1744" s="45"/>
    </row>
    <row r="1745" spans="3:3">
      <c r="C1745" s="45"/>
    </row>
    <row r="1746" spans="3:3">
      <c r="C1746" s="45"/>
    </row>
    <row r="1747" spans="3:3">
      <c r="C1747" s="45"/>
    </row>
    <row r="1748" spans="3:3">
      <c r="C1748" s="45"/>
    </row>
    <row r="1749" spans="3:3">
      <c r="C1749" s="45"/>
    </row>
    <row r="1750" spans="3:3">
      <c r="C1750" s="45"/>
    </row>
    <row r="1751" spans="3:3">
      <c r="C1751" s="45"/>
    </row>
    <row r="1752" spans="3:3">
      <c r="C1752" s="45"/>
    </row>
    <row r="1753" spans="3:3">
      <c r="C1753" s="45"/>
    </row>
    <row r="1754" spans="3:3">
      <c r="C1754" s="45"/>
    </row>
    <row r="1755" spans="3:3">
      <c r="C1755" s="45"/>
    </row>
    <row r="1756" spans="3:3">
      <c r="C1756" s="45"/>
    </row>
    <row r="1757" spans="3:3">
      <c r="C1757" s="45"/>
    </row>
    <row r="1758" spans="3:3">
      <c r="C1758" s="45"/>
    </row>
    <row r="1759" spans="3:3">
      <c r="C1759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B9C4-9148-41C0-9361-C970F6CD7093}">
  <dimension ref="A1:F34"/>
  <sheetViews>
    <sheetView workbookViewId="0">
      <selection activeCell="C29" sqref="C29"/>
    </sheetView>
  </sheetViews>
  <sheetFormatPr baseColWidth="10" defaultRowHeight="15"/>
  <cols>
    <col min="1" max="1" width="4.140625" style="82" bestFit="1" customWidth="1"/>
    <col min="2" max="2" width="38.7109375" style="82" bestFit="1" customWidth="1"/>
    <col min="3" max="3" width="16.42578125" style="82" bestFit="1" customWidth="1"/>
    <col min="4" max="4" width="2.5703125" style="82" customWidth="1"/>
    <col min="5" max="5" width="40.7109375" style="82" bestFit="1" customWidth="1"/>
    <col min="6" max="6" width="17.85546875" style="82" bestFit="1" customWidth="1"/>
  </cols>
  <sheetData>
    <row r="1" spans="1:6" ht="15.75" thickBot="1">
      <c r="A1" s="61" t="s">
        <v>0</v>
      </c>
      <c r="B1" s="62" t="s">
        <v>1</v>
      </c>
      <c r="C1" s="63" t="s">
        <v>2</v>
      </c>
      <c r="D1" s="61"/>
      <c r="E1" s="62" t="s">
        <v>7</v>
      </c>
      <c r="F1" s="64" t="s">
        <v>2</v>
      </c>
    </row>
    <row r="2" spans="1:6" ht="18.75">
      <c r="A2" s="65">
        <v>1</v>
      </c>
      <c r="B2" s="66" t="s">
        <v>12</v>
      </c>
      <c r="C2" s="67">
        <v>1500000</v>
      </c>
      <c r="D2" s="68"/>
      <c r="E2" s="69" t="s">
        <v>11</v>
      </c>
      <c r="F2" s="67">
        <v>3500000</v>
      </c>
    </row>
    <row r="3" spans="1:6" ht="18.75">
      <c r="A3" s="65">
        <v>2</v>
      </c>
      <c r="B3" s="70" t="s">
        <v>24</v>
      </c>
      <c r="C3" s="71">
        <v>2000000</v>
      </c>
      <c r="D3" s="72"/>
      <c r="E3" s="73" t="s">
        <v>18</v>
      </c>
      <c r="F3" s="74">
        <v>5800000</v>
      </c>
    </row>
    <row r="4" spans="1:6" ht="18.75">
      <c r="A4" s="65">
        <v>3</v>
      </c>
      <c r="B4" s="75" t="s">
        <v>37</v>
      </c>
      <c r="C4" s="67">
        <v>1800000</v>
      </c>
      <c r="D4" s="72"/>
      <c r="E4" s="73" t="s">
        <v>17</v>
      </c>
      <c r="F4" s="74">
        <v>5800000</v>
      </c>
    </row>
    <row r="5" spans="1:6" ht="18.75">
      <c r="A5" s="65">
        <v>4</v>
      </c>
      <c r="B5" s="66" t="s">
        <v>52</v>
      </c>
      <c r="C5" s="67">
        <v>2300000</v>
      </c>
      <c r="D5" s="72"/>
      <c r="E5" s="69" t="s">
        <v>14</v>
      </c>
      <c r="F5" s="67">
        <v>8500000</v>
      </c>
    </row>
    <row r="6" spans="1:6" ht="18.75">
      <c r="A6" s="65">
        <v>5</v>
      </c>
      <c r="B6" s="75" t="s">
        <v>42</v>
      </c>
      <c r="C6" s="67">
        <v>3600000</v>
      </c>
      <c r="D6" s="72"/>
      <c r="E6" s="69" t="s">
        <v>21</v>
      </c>
      <c r="F6" s="67">
        <v>4900000</v>
      </c>
    </row>
    <row r="7" spans="1:6" ht="18.75">
      <c r="A7" s="65">
        <v>6</v>
      </c>
      <c r="B7" s="75" t="s">
        <v>43</v>
      </c>
      <c r="C7" s="67">
        <v>3400000</v>
      </c>
      <c r="D7" s="72"/>
      <c r="E7" s="69" t="s">
        <v>35</v>
      </c>
      <c r="F7" s="67">
        <v>6000000</v>
      </c>
    </row>
    <row r="8" spans="1:6" ht="18.75">
      <c r="A8" s="65">
        <v>7</v>
      </c>
      <c r="B8" s="75" t="s">
        <v>46</v>
      </c>
      <c r="C8" s="67">
        <v>2000000</v>
      </c>
      <c r="D8" s="72"/>
      <c r="E8" s="73" t="s">
        <v>27</v>
      </c>
      <c r="F8" s="74">
        <v>2400000</v>
      </c>
    </row>
    <row r="9" spans="1:6" ht="18.75">
      <c r="A9" s="65">
        <v>8</v>
      </c>
      <c r="B9" s="75" t="s">
        <v>49</v>
      </c>
      <c r="C9" s="67">
        <v>2000000</v>
      </c>
      <c r="D9" s="72"/>
      <c r="E9" s="69" t="s">
        <v>25</v>
      </c>
      <c r="F9" s="67">
        <v>3800000</v>
      </c>
    </row>
    <row r="10" spans="1:6" ht="18.75">
      <c r="A10" s="65">
        <v>22</v>
      </c>
      <c r="B10" s="75" t="s">
        <v>49</v>
      </c>
      <c r="C10" s="67">
        <v>2000000</v>
      </c>
      <c r="D10" s="72"/>
      <c r="E10" s="69" t="s">
        <v>26</v>
      </c>
      <c r="F10" s="67">
        <v>4500000</v>
      </c>
    </row>
    <row r="11" spans="1:6" ht="18.75">
      <c r="A11" s="76">
        <v>23</v>
      </c>
      <c r="B11" s="75" t="s">
        <v>49</v>
      </c>
      <c r="C11" s="67">
        <v>2000000</v>
      </c>
      <c r="D11" s="72"/>
      <c r="E11" s="77" t="s">
        <v>20</v>
      </c>
      <c r="F11" s="74">
        <v>5500000</v>
      </c>
    </row>
    <row r="12" spans="1:6" ht="18.75">
      <c r="A12" s="76">
        <v>24</v>
      </c>
      <c r="B12" s="75" t="s">
        <v>49</v>
      </c>
      <c r="C12" s="67">
        <v>2000000</v>
      </c>
      <c r="D12" s="72"/>
      <c r="E12" s="69" t="s">
        <v>8</v>
      </c>
      <c r="F12" s="67">
        <v>8800000</v>
      </c>
    </row>
    <row r="13" spans="1:6" ht="18.75">
      <c r="A13" s="76">
        <v>25</v>
      </c>
      <c r="B13" s="75" t="s">
        <v>49</v>
      </c>
      <c r="C13" s="67">
        <v>2000000</v>
      </c>
      <c r="D13" s="72"/>
      <c r="E13" s="69" t="s">
        <v>15</v>
      </c>
      <c r="F13" s="67">
        <v>3600000</v>
      </c>
    </row>
    <row r="14" spans="1:6" ht="18.75">
      <c r="A14" s="76">
        <v>26</v>
      </c>
      <c r="B14" s="75" t="s">
        <v>51</v>
      </c>
      <c r="C14" s="67">
        <v>2500000</v>
      </c>
      <c r="D14" s="72"/>
      <c r="E14" s="69" t="s">
        <v>9</v>
      </c>
      <c r="F14" s="67">
        <v>3600000</v>
      </c>
    </row>
    <row r="15" spans="1:6" ht="18.75">
      <c r="A15" s="76">
        <v>27</v>
      </c>
      <c r="B15" s="75" t="s">
        <v>54</v>
      </c>
      <c r="C15" s="67">
        <v>1900000</v>
      </c>
      <c r="D15" s="72"/>
      <c r="E15" s="69" t="s">
        <v>16</v>
      </c>
      <c r="F15" s="67">
        <v>2500000</v>
      </c>
    </row>
    <row r="16" spans="1:6" ht="18.75">
      <c r="A16" s="76">
        <v>28</v>
      </c>
      <c r="B16" s="75" t="s">
        <v>55</v>
      </c>
      <c r="C16" s="67">
        <v>2200000</v>
      </c>
      <c r="D16" s="72"/>
      <c r="E16" s="77" t="s">
        <v>10</v>
      </c>
      <c r="F16" s="74">
        <v>2100000</v>
      </c>
    </row>
    <row r="17" spans="1:6" ht="18.75">
      <c r="A17" s="76">
        <v>29</v>
      </c>
      <c r="B17" s="75" t="s">
        <v>56</v>
      </c>
      <c r="C17" s="67">
        <v>3200000</v>
      </c>
      <c r="D17" s="72"/>
      <c r="E17" s="73" t="s">
        <v>29</v>
      </c>
      <c r="F17" s="78">
        <v>3600000</v>
      </c>
    </row>
    <row r="18" spans="1:6" ht="18.75">
      <c r="A18" s="76">
        <v>30</v>
      </c>
      <c r="B18" s="75" t="s">
        <v>64</v>
      </c>
      <c r="C18" s="67">
        <v>2400000</v>
      </c>
      <c r="D18" s="72"/>
      <c r="E18" s="77" t="s">
        <v>39</v>
      </c>
      <c r="F18" s="74">
        <v>4500000</v>
      </c>
    </row>
    <row r="19" spans="1:6" ht="18.75">
      <c r="A19" s="76">
        <v>31</v>
      </c>
      <c r="B19" s="75" t="s">
        <v>65</v>
      </c>
      <c r="C19" s="67">
        <v>2300000</v>
      </c>
      <c r="D19" s="72"/>
      <c r="E19" s="77" t="s">
        <v>31</v>
      </c>
      <c r="F19" s="74">
        <v>3800000</v>
      </c>
    </row>
    <row r="20" spans="1:6" ht="18.75">
      <c r="A20" s="76">
        <v>32</v>
      </c>
      <c r="B20" s="75" t="s">
        <v>68</v>
      </c>
      <c r="C20" s="67">
        <v>2000000</v>
      </c>
      <c r="D20" s="72"/>
      <c r="E20" s="69" t="s">
        <v>33</v>
      </c>
      <c r="F20" s="67">
        <v>3900000</v>
      </c>
    </row>
    <row r="21" spans="1:6" ht="18.75">
      <c r="A21" s="76">
        <v>33</v>
      </c>
      <c r="B21" s="75"/>
      <c r="C21" s="67"/>
      <c r="D21" s="72"/>
      <c r="E21" s="69" t="s">
        <v>40</v>
      </c>
      <c r="F21" s="67">
        <v>4800000</v>
      </c>
    </row>
    <row r="22" spans="1:6" ht="18.75">
      <c r="A22" s="76">
        <v>34</v>
      </c>
      <c r="B22" s="75"/>
      <c r="C22" s="67"/>
      <c r="D22" s="72"/>
      <c r="E22" s="69" t="s">
        <v>41</v>
      </c>
      <c r="F22" s="67">
        <v>4500000</v>
      </c>
    </row>
    <row r="23" spans="1:6" ht="18.75">
      <c r="A23" s="76">
        <v>35</v>
      </c>
      <c r="B23" s="75"/>
      <c r="C23" s="67"/>
      <c r="D23" s="72"/>
      <c r="E23" s="77" t="s">
        <v>44</v>
      </c>
      <c r="F23" s="67">
        <v>6900000</v>
      </c>
    </row>
    <row r="24" spans="1:6" ht="18.75">
      <c r="A24" s="76">
        <v>36</v>
      </c>
      <c r="B24" s="79"/>
      <c r="C24" s="79"/>
      <c r="D24" s="72"/>
      <c r="E24" s="77" t="s">
        <v>45</v>
      </c>
      <c r="F24" s="74">
        <v>2500000</v>
      </c>
    </row>
    <row r="25" spans="1:6" ht="18.75">
      <c r="A25" s="76">
        <v>37</v>
      </c>
      <c r="B25" s="80" t="s">
        <v>4</v>
      </c>
      <c r="C25" s="81">
        <f>SUM(C3:C24,C2:C24)</f>
        <v>84700000</v>
      </c>
      <c r="D25" s="72"/>
      <c r="E25" s="77" t="s">
        <v>48</v>
      </c>
      <c r="F25" s="67">
        <v>10500000</v>
      </c>
    </row>
    <row r="26" spans="1:6" ht="18.75">
      <c r="A26" s="76">
        <v>38</v>
      </c>
      <c r="C26" s="83"/>
      <c r="D26" s="72"/>
      <c r="E26" s="77" t="s">
        <v>50</v>
      </c>
      <c r="F26" s="74">
        <v>5500000</v>
      </c>
    </row>
    <row r="27" spans="1:6" ht="18.75">
      <c r="A27" s="76">
        <v>39</v>
      </c>
      <c r="C27" s="83"/>
      <c r="D27" s="72"/>
      <c r="E27" s="77" t="s">
        <v>53</v>
      </c>
      <c r="F27" s="74">
        <v>2300000</v>
      </c>
    </row>
    <row r="28" spans="1:6" ht="18.75">
      <c r="A28" s="76">
        <v>40</v>
      </c>
      <c r="D28" s="72"/>
      <c r="E28" s="77" t="s">
        <v>67</v>
      </c>
      <c r="F28" s="67">
        <v>3500000</v>
      </c>
    </row>
    <row r="29" spans="1:6" ht="18.75">
      <c r="A29" s="76">
        <v>41</v>
      </c>
      <c r="D29" s="72"/>
      <c r="E29" s="77" t="s">
        <v>66</v>
      </c>
      <c r="F29" s="67">
        <v>4200000</v>
      </c>
    </row>
    <row r="30" spans="1:6" ht="18.75">
      <c r="D30" s="72"/>
      <c r="E30" s="77"/>
      <c r="F30" s="67"/>
    </row>
    <row r="31" spans="1:6" ht="18.75">
      <c r="E31" s="77"/>
      <c r="F31" s="67"/>
    </row>
    <row r="32" spans="1:6" ht="18.75">
      <c r="E32" s="73"/>
      <c r="F32" s="74"/>
    </row>
    <row r="33" customFormat="1"/>
    <row r="34" customFormat="1"/>
  </sheetData>
  <pageMargins left="0.23622047244094491" right="0.23622047244094491" top="0" bottom="0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BC6F-6AEF-4EC2-ABF1-F1E1E64B3733}">
  <dimension ref="A1:G33"/>
  <sheetViews>
    <sheetView topLeftCell="A10" zoomScale="130" zoomScaleNormal="130" workbookViewId="0">
      <selection activeCell="G26" sqref="G26:G27"/>
    </sheetView>
  </sheetViews>
  <sheetFormatPr baseColWidth="10" defaultRowHeight="15"/>
  <cols>
    <col min="1" max="1" width="3" style="155" bestFit="1" customWidth="1"/>
    <col min="2" max="2" width="19.140625" style="155" bestFit="1" customWidth="1"/>
    <col min="3" max="3" width="14.42578125" style="155" bestFit="1" customWidth="1"/>
    <col min="4" max="4" width="35.28515625" style="155" bestFit="1" customWidth="1"/>
    <col min="5" max="5" width="14.42578125" style="155" bestFit="1" customWidth="1"/>
    <col min="6" max="6" width="29.85546875" style="155" bestFit="1" customWidth="1"/>
    <col min="7" max="7" width="14.42578125" style="155" bestFit="1" customWidth="1"/>
  </cols>
  <sheetData>
    <row r="1" spans="1:7">
      <c r="A1" s="144" t="s">
        <v>0</v>
      </c>
      <c r="B1" s="145" t="s">
        <v>85</v>
      </c>
      <c r="C1" s="146" t="s">
        <v>2</v>
      </c>
      <c r="D1" s="145" t="s">
        <v>1</v>
      </c>
      <c r="E1" s="146" t="s">
        <v>2</v>
      </c>
      <c r="F1" s="145" t="s">
        <v>7</v>
      </c>
      <c r="G1" s="147" t="s">
        <v>2</v>
      </c>
    </row>
    <row r="2" spans="1:7" ht="15.75">
      <c r="A2" s="156">
        <v>1</v>
      </c>
      <c r="B2" s="152" t="s">
        <v>49</v>
      </c>
      <c r="C2" s="148">
        <v>1950000</v>
      </c>
      <c r="D2" s="152" t="s">
        <v>113</v>
      </c>
      <c r="E2" s="148">
        <v>1600000</v>
      </c>
      <c r="F2" s="149" t="s">
        <v>8</v>
      </c>
      <c r="G2" s="148">
        <v>8800000</v>
      </c>
    </row>
    <row r="3" spans="1:7" ht="15.75">
      <c r="A3" s="156">
        <v>2</v>
      </c>
      <c r="B3" s="152" t="s">
        <v>49</v>
      </c>
      <c r="C3" s="148">
        <v>1950000</v>
      </c>
      <c r="D3" s="152" t="s">
        <v>140</v>
      </c>
      <c r="E3" s="148">
        <v>1600000</v>
      </c>
      <c r="F3" s="149" t="s">
        <v>14</v>
      </c>
      <c r="G3" s="148">
        <v>8500000</v>
      </c>
    </row>
    <row r="4" spans="1:7" ht="15.75">
      <c r="A4" s="156">
        <v>3</v>
      </c>
      <c r="B4" s="152" t="s">
        <v>49</v>
      </c>
      <c r="C4" s="148">
        <v>1950000</v>
      </c>
      <c r="D4" s="152" t="s">
        <v>54</v>
      </c>
      <c r="E4" s="148">
        <v>1800000</v>
      </c>
      <c r="F4" s="150" t="s">
        <v>17</v>
      </c>
      <c r="G4" s="151">
        <v>5500000</v>
      </c>
    </row>
    <row r="5" spans="1:7" ht="15.75">
      <c r="A5" s="156">
        <v>4</v>
      </c>
      <c r="B5" s="152" t="s">
        <v>49</v>
      </c>
      <c r="C5" s="148">
        <v>1950000</v>
      </c>
      <c r="D5" s="152" t="s">
        <v>135</v>
      </c>
      <c r="E5" s="148">
        <v>2100000</v>
      </c>
      <c r="F5" s="150" t="s">
        <v>18</v>
      </c>
      <c r="G5" s="151">
        <v>5500000</v>
      </c>
    </row>
    <row r="6" spans="1:7" ht="15.75">
      <c r="A6" s="156">
        <v>5</v>
      </c>
      <c r="B6" s="149" t="s">
        <v>86</v>
      </c>
      <c r="C6" s="148">
        <v>1790000</v>
      </c>
      <c r="D6" s="152" t="s">
        <v>156</v>
      </c>
      <c r="E6" s="148">
        <v>2000000</v>
      </c>
      <c r="F6" s="149" t="s">
        <v>81</v>
      </c>
      <c r="G6" s="148">
        <v>4600000</v>
      </c>
    </row>
    <row r="7" spans="1:7" ht="15.75">
      <c r="A7" s="156">
        <v>6</v>
      </c>
      <c r="B7" s="149" t="s">
        <v>87</v>
      </c>
      <c r="C7" s="148">
        <v>1890000</v>
      </c>
      <c r="D7" s="152" t="s">
        <v>149</v>
      </c>
      <c r="E7" s="148">
        <v>1600000</v>
      </c>
      <c r="F7" s="149" t="s">
        <v>41</v>
      </c>
      <c r="G7" s="148">
        <v>4200000</v>
      </c>
    </row>
    <row r="8" spans="1:7" ht="15.75">
      <c r="A8" s="156">
        <v>7</v>
      </c>
      <c r="B8" s="149" t="s">
        <v>87</v>
      </c>
      <c r="C8" s="148">
        <v>1890000</v>
      </c>
      <c r="D8" s="152" t="s">
        <v>106</v>
      </c>
      <c r="E8" s="148">
        <v>2000000</v>
      </c>
      <c r="F8" s="152" t="s">
        <v>39</v>
      </c>
      <c r="G8" s="151">
        <v>4200000</v>
      </c>
    </row>
    <row r="9" spans="1:7" ht="15.75">
      <c r="A9" s="156">
        <v>8</v>
      </c>
      <c r="B9" s="149" t="s">
        <v>87</v>
      </c>
      <c r="C9" s="148">
        <v>1890000</v>
      </c>
      <c r="D9" s="152" t="s">
        <v>157</v>
      </c>
      <c r="E9" s="153">
        <v>2350000</v>
      </c>
      <c r="F9" s="149" t="s">
        <v>15</v>
      </c>
      <c r="G9" s="148">
        <v>3600000</v>
      </c>
    </row>
    <row r="10" spans="1:7" ht="15.75">
      <c r="A10" s="156">
        <v>9</v>
      </c>
      <c r="B10" s="149" t="s">
        <v>87</v>
      </c>
      <c r="C10" s="148">
        <v>1890000</v>
      </c>
      <c r="D10" s="152" t="s">
        <v>137</v>
      </c>
      <c r="E10" s="153">
        <v>2250000</v>
      </c>
      <c r="F10" s="152" t="s">
        <v>67</v>
      </c>
      <c r="G10" s="148">
        <v>3500000</v>
      </c>
    </row>
    <row r="11" spans="1:7" ht="15.75">
      <c r="A11" s="156">
        <v>10</v>
      </c>
      <c r="B11" s="149" t="s">
        <v>87</v>
      </c>
      <c r="C11" s="148">
        <v>1890000</v>
      </c>
      <c r="D11" s="152" t="s">
        <v>138</v>
      </c>
      <c r="E11" s="153">
        <v>2350000</v>
      </c>
      <c r="F11" s="149" t="s">
        <v>88</v>
      </c>
      <c r="G11" s="148">
        <v>3000000</v>
      </c>
    </row>
    <row r="12" spans="1:7" ht="15.75">
      <c r="A12" s="156">
        <v>11</v>
      </c>
      <c r="B12" s="157" t="s">
        <v>91</v>
      </c>
      <c r="C12" s="148">
        <v>1950000</v>
      </c>
      <c r="D12" s="152" t="s">
        <v>150</v>
      </c>
      <c r="E12" s="148">
        <v>2000000</v>
      </c>
      <c r="F12" s="150" t="s">
        <v>27</v>
      </c>
      <c r="G12" s="151">
        <v>2400000</v>
      </c>
    </row>
    <row r="13" spans="1:7" ht="15.75">
      <c r="A13" s="156">
        <v>12</v>
      </c>
      <c r="B13" s="157" t="s">
        <v>91</v>
      </c>
      <c r="C13" s="148">
        <v>1950000</v>
      </c>
      <c r="D13" s="152" t="s">
        <v>46</v>
      </c>
      <c r="E13" s="148">
        <v>1900000</v>
      </c>
      <c r="F13" s="149" t="s">
        <v>107</v>
      </c>
      <c r="G13" s="148">
        <v>2400000</v>
      </c>
    </row>
    <row r="14" spans="1:7" ht="15.75">
      <c r="A14" s="156">
        <v>13</v>
      </c>
      <c r="B14" s="157" t="s">
        <v>158</v>
      </c>
      <c r="C14" s="148">
        <v>1950000</v>
      </c>
      <c r="D14" s="149" t="s">
        <v>78</v>
      </c>
      <c r="E14" s="148">
        <v>2000000</v>
      </c>
      <c r="F14" s="149" t="s">
        <v>124</v>
      </c>
      <c r="G14" s="148">
        <v>4500000</v>
      </c>
    </row>
    <row r="15" spans="1:7" ht="15.75">
      <c r="A15" s="156">
        <v>14</v>
      </c>
      <c r="B15" s="158" t="s">
        <v>151</v>
      </c>
      <c r="C15" s="159">
        <v>2250000</v>
      </c>
      <c r="D15" s="152" t="s">
        <v>77</v>
      </c>
      <c r="E15" s="148">
        <v>2000000</v>
      </c>
      <c r="F15" s="149" t="s">
        <v>110</v>
      </c>
      <c r="G15" s="148">
        <v>3600000</v>
      </c>
    </row>
    <row r="16" spans="1:7" ht="20.25" customHeight="1">
      <c r="A16" s="156">
        <v>15</v>
      </c>
      <c r="B16" s="157" t="s">
        <v>151</v>
      </c>
      <c r="C16" s="153">
        <v>2250000</v>
      </c>
      <c r="D16" s="152" t="s">
        <v>55</v>
      </c>
      <c r="E16" s="148">
        <v>2000000</v>
      </c>
      <c r="F16" s="149" t="s">
        <v>108</v>
      </c>
      <c r="G16" s="148">
        <v>2800000</v>
      </c>
    </row>
    <row r="17" spans="1:7" ht="15.75">
      <c r="A17" s="156">
        <v>16</v>
      </c>
      <c r="B17" s="157" t="s">
        <v>162</v>
      </c>
      <c r="C17" s="148">
        <v>1970000</v>
      </c>
      <c r="D17" s="152" t="s">
        <v>76</v>
      </c>
      <c r="E17" s="148">
        <v>2300000</v>
      </c>
      <c r="F17" s="149" t="s">
        <v>111</v>
      </c>
      <c r="G17" s="148">
        <v>3600000</v>
      </c>
    </row>
    <row r="18" spans="1:7" ht="15.75">
      <c r="A18" s="156">
        <v>17</v>
      </c>
      <c r="B18" s="157" t="s">
        <v>163</v>
      </c>
      <c r="C18" s="153">
        <v>2340000</v>
      </c>
      <c r="D18" s="152" t="s">
        <v>79</v>
      </c>
      <c r="E18" s="148">
        <v>2200000</v>
      </c>
      <c r="F18" s="149" t="s">
        <v>112</v>
      </c>
      <c r="G18" s="148">
        <v>5500000</v>
      </c>
    </row>
    <row r="19" spans="1:7" ht="15.75">
      <c r="A19" s="156">
        <v>18</v>
      </c>
      <c r="B19" s="154" t="s">
        <v>161</v>
      </c>
      <c r="C19" s="154" t="s">
        <v>109</v>
      </c>
      <c r="D19" s="152" t="s">
        <v>139</v>
      </c>
      <c r="E19" s="148">
        <v>3500000</v>
      </c>
      <c r="F19" s="149" t="s">
        <v>127</v>
      </c>
      <c r="G19" s="148">
        <v>3600000</v>
      </c>
    </row>
    <row r="20" spans="1:7" ht="15.75">
      <c r="A20" s="156">
        <v>19</v>
      </c>
      <c r="B20" s="154" t="s">
        <v>160</v>
      </c>
      <c r="C20" s="154" t="s">
        <v>109</v>
      </c>
      <c r="D20" s="152" t="s">
        <v>146</v>
      </c>
      <c r="E20" s="148">
        <v>3000000</v>
      </c>
      <c r="F20" s="149" t="s">
        <v>131</v>
      </c>
      <c r="G20" s="148">
        <v>4900000</v>
      </c>
    </row>
    <row r="21" spans="1:7" ht="15.75">
      <c r="A21" s="156">
        <v>20</v>
      </c>
      <c r="B21" s="157" t="s">
        <v>153</v>
      </c>
      <c r="C21" s="153">
        <v>2300000</v>
      </c>
      <c r="D21" s="152" t="s">
        <v>145</v>
      </c>
      <c r="E21" s="148">
        <v>3200000</v>
      </c>
      <c r="F21" s="149" t="s">
        <v>132</v>
      </c>
      <c r="G21" s="148">
        <v>3900000</v>
      </c>
    </row>
    <row r="22" spans="1:7" ht="15.75">
      <c r="A22" s="156">
        <v>21</v>
      </c>
      <c r="B22" s="157" t="s">
        <v>164</v>
      </c>
      <c r="C22" s="153">
        <v>2640000</v>
      </c>
      <c r="D22" s="152" t="s">
        <v>144</v>
      </c>
      <c r="E22" s="148">
        <v>3200000</v>
      </c>
      <c r="F22" s="149" t="s">
        <v>133</v>
      </c>
      <c r="G22" s="148">
        <v>3500000</v>
      </c>
    </row>
    <row r="23" spans="1:7" ht="15.75">
      <c r="A23" s="156">
        <v>22</v>
      </c>
      <c r="B23" s="157" t="s">
        <v>159</v>
      </c>
      <c r="C23" s="153">
        <v>3100000</v>
      </c>
      <c r="D23" s="152" t="s">
        <v>144</v>
      </c>
      <c r="E23" s="148">
        <v>3300000</v>
      </c>
      <c r="F23" s="149"/>
      <c r="G23" s="148"/>
    </row>
    <row r="24" spans="1:7" ht="15.75">
      <c r="A24" s="156">
        <v>23</v>
      </c>
      <c r="B24" s="154" t="s">
        <v>90</v>
      </c>
      <c r="C24" s="154" t="s">
        <v>109</v>
      </c>
      <c r="D24" s="152" t="s">
        <v>147</v>
      </c>
      <c r="E24" s="148">
        <v>1400000</v>
      </c>
      <c r="F24" s="149"/>
      <c r="G24" s="148"/>
    </row>
    <row r="25" spans="1:7" ht="15.75">
      <c r="A25" s="156">
        <v>24</v>
      </c>
      <c r="B25" s="157" t="s">
        <v>158</v>
      </c>
      <c r="C25" s="148">
        <v>1950000</v>
      </c>
      <c r="D25" s="150" t="s">
        <v>148</v>
      </c>
      <c r="E25" s="148">
        <v>1400000</v>
      </c>
      <c r="F25" s="149"/>
      <c r="G25" s="148"/>
    </row>
    <row r="26" spans="1:7">
      <c r="A26" s="156">
        <v>25</v>
      </c>
      <c r="B26" s="157"/>
      <c r="C26" s="160"/>
      <c r="D26" s="161"/>
      <c r="E26" s="161"/>
      <c r="F26" s="161"/>
      <c r="G26" s="161"/>
    </row>
    <row r="27" spans="1:7">
      <c r="A27" s="156">
        <v>26</v>
      </c>
      <c r="B27" s="157"/>
      <c r="C27" s="160"/>
      <c r="D27" s="161"/>
      <c r="E27" s="161"/>
      <c r="F27" s="161"/>
      <c r="G27" s="161"/>
    </row>
    <row r="28" spans="1:7">
      <c r="A28" s="156">
        <v>27</v>
      </c>
      <c r="B28" s="157"/>
      <c r="C28" s="160"/>
      <c r="D28" s="161"/>
      <c r="E28" s="161"/>
      <c r="F28" s="161"/>
      <c r="G28" s="161"/>
    </row>
    <row r="29" spans="1:7">
      <c r="A29" s="156">
        <v>28</v>
      </c>
      <c r="B29" s="157"/>
      <c r="C29" s="160"/>
      <c r="D29" s="161"/>
      <c r="E29" s="161"/>
      <c r="F29" s="161"/>
      <c r="G29" s="161"/>
    </row>
    <row r="30" spans="1:7">
      <c r="A30" s="156">
        <v>29</v>
      </c>
      <c r="B30" s="162"/>
      <c r="C30" s="163"/>
      <c r="D30" s="161"/>
      <c r="E30" s="161"/>
      <c r="F30" s="161"/>
      <c r="G30" s="161"/>
    </row>
    <row r="31" spans="1:7" ht="15.75">
      <c r="A31" s="156">
        <v>30</v>
      </c>
      <c r="B31" s="152"/>
      <c r="C31" s="148"/>
      <c r="D31" s="161"/>
      <c r="E31" s="161"/>
      <c r="F31" s="161"/>
      <c r="G31" s="161"/>
    </row>
    <row r="32" spans="1:7">
      <c r="A32" s="156">
        <v>31</v>
      </c>
      <c r="B32" s="161"/>
      <c r="C32" s="161"/>
      <c r="D32" s="161"/>
      <c r="E32" s="161"/>
      <c r="F32" s="161"/>
      <c r="G32" s="161"/>
    </row>
    <row r="33" spans="3:3">
      <c r="C33" s="164"/>
    </row>
  </sheetData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0474-E32D-4BDA-BBB5-072443DCB2A4}">
  <dimension ref="A1:L48"/>
  <sheetViews>
    <sheetView topLeftCell="A29" workbookViewId="0">
      <selection sqref="A1:L48"/>
    </sheetView>
  </sheetViews>
  <sheetFormatPr baseColWidth="10" defaultRowHeight="15"/>
  <cols>
    <col min="1" max="1" width="3.28515625" bestFit="1" customWidth="1"/>
    <col min="2" max="2" width="51.7109375" customWidth="1"/>
    <col min="3" max="3" width="20.85546875" bestFit="1" customWidth="1"/>
    <col min="4" max="4" width="14.42578125" bestFit="1" customWidth="1"/>
    <col min="5" max="5" width="17.85546875" bestFit="1" customWidth="1"/>
    <col min="6" max="6" width="22.42578125" bestFit="1" customWidth="1"/>
    <col min="7" max="7" width="16.5703125" bestFit="1" customWidth="1"/>
    <col min="8" max="8" width="11.5703125" bestFit="1" customWidth="1"/>
    <col min="9" max="9" width="10.85546875" bestFit="1" customWidth="1"/>
    <col min="10" max="10" width="7.7109375" bestFit="1" customWidth="1"/>
    <col min="11" max="11" width="17.85546875" bestFit="1" customWidth="1"/>
    <col min="12" max="12" width="9.42578125" bestFit="1" customWidth="1"/>
  </cols>
  <sheetData>
    <row r="1" spans="1:12" ht="18.75">
      <c r="A1" s="91"/>
      <c r="B1" s="16" t="s">
        <v>116</v>
      </c>
      <c r="C1" s="16" t="s">
        <v>2</v>
      </c>
      <c r="D1" s="19" t="s">
        <v>3</v>
      </c>
      <c r="E1" s="19" t="s">
        <v>5</v>
      </c>
      <c r="F1" s="19" t="s">
        <v>6</v>
      </c>
      <c r="G1" s="19" t="s">
        <v>13</v>
      </c>
      <c r="H1" s="49" t="s">
        <v>19</v>
      </c>
      <c r="I1" s="49" t="s">
        <v>22</v>
      </c>
      <c r="J1" s="49" t="s">
        <v>23</v>
      </c>
      <c r="K1" s="49" t="s">
        <v>30</v>
      </c>
      <c r="L1" s="49" t="s">
        <v>47</v>
      </c>
    </row>
    <row r="2" spans="1:12" ht="22.5">
      <c r="A2" s="92">
        <v>1</v>
      </c>
      <c r="B2" s="33" t="s">
        <v>114</v>
      </c>
      <c r="C2" s="15">
        <v>1900000</v>
      </c>
      <c r="D2" s="124">
        <v>900000</v>
      </c>
      <c r="E2" s="100">
        <v>600000</v>
      </c>
      <c r="F2" s="15"/>
      <c r="G2" s="106" t="s">
        <v>117</v>
      </c>
      <c r="H2" s="52"/>
      <c r="I2" s="49" t="s">
        <v>118</v>
      </c>
      <c r="J2" s="49"/>
      <c r="K2" s="102" t="s">
        <v>119</v>
      </c>
      <c r="L2" s="101">
        <v>46176</v>
      </c>
    </row>
    <row r="3" spans="1:12" ht="22.5">
      <c r="A3" s="92">
        <v>2</v>
      </c>
      <c r="B3" s="104" t="s">
        <v>83</v>
      </c>
      <c r="C3" s="15">
        <v>1700000</v>
      </c>
      <c r="D3" s="111">
        <v>1000000</v>
      </c>
      <c r="E3" s="100"/>
      <c r="F3" s="100">
        <v>2160000</v>
      </c>
      <c r="G3" s="103" t="s">
        <v>82</v>
      </c>
      <c r="H3" s="52"/>
      <c r="I3" s="49" t="s">
        <v>120</v>
      </c>
      <c r="J3" s="49"/>
      <c r="K3" s="53" t="s">
        <v>121</v>
      </c>
      <c r="L3" s="101">
        <v>46176</v>
      </c>
    </row>
    <row r="4" spans="1:12" ht="22.5">
      <c r="A4" s="92">
        <v>3</v>
      </c>
      <c r="B4" s="40" t="s">
        <v>50</v>
      </c>
      <c r="C4" s="47">
        <v>5500000</v>
      </c>
      <c r="D4" s="124">
        <v>4000000</v>
      </c>
      <c r="E4" s="100">
        <v>1500000</v>
      </c>
      <c r="F4" s="15"/>
      <c r="G4" s="106" t="s">
        <v>117</v>
      </c>
      <c r="H4" s="52"/>
      <c r="I4" s="49" t="s">
        <v>118</v>
      </c>
      <c r="J4" s="49"/>
      <c r="K4" s="102" t="s">
        <v>122</v>
      </c>
      <c r="L4" s="101">
        <v>46177</v>
      </c>
    </row>
    <row r="5" spans="1:12" ht="22.5">
      <c r="A5" s="92">
        <v>4</v>
      </c>
      <c r="B5" s="40" t="s">
        <v>104</v>
      </c>
      <c r="C5" s="15">
        <v>3800000</v>
      </c>
      <c r="D5" s="124">
        <v>2600000</v>
      </c>
      <c r="E5" s="100">
        <v>1600000</v>
      </c>
      <c r="F5" s="15"/>
      <c r="G5" s="103" t="s">
        <v>123</v>
      </c>
      <c r="H5" s="52">
        <v>4200000</v>
      </c>
      <c r="I5" s="49" t="s">
        <v>120</v>
      </c>
      <c r="J5" s="49" t="s">
        <v>125</v>
      </c>
      <c r="K5" s="102" t="s">
        <v>122</v>
      </c>
      <c r="L5" s="101">
        <v>46177</v>
      </c>
    </row>
    <row r="6" spans="1:12" ht="22.5">
      <c r="A6" s="92">
        <v>5</v>
      </c>
      <c r="B6" s="104" t="s">
        <v>84</v>
      </c>
      <c r="C6" s="15">
        <v>3800000</v>
      </c>
      <c r="D6" s="105">
        <v>3000000</v>
      </c>
      <c r="E6" s="100">
        <v>1050000</v>
      </c>
      <c r="F6" s="15"/>
      <c r="G6" s="106" t="s">
        <v>28</v>
      </c>
      <c r="H6" s="52">
        <v>4050000</v>
      </c>
      <c r="I6" s="49" t="s">
        <v>120</v>
      </c>
      <c r="J6" s="49" t="s">
        <v>125</v>
      </c>
      <c r="K6" s="53" t="s">
        <v>121</v>
      </c>
      <c r="L6" s="101">
        <v>46178</v>
      </c>
    </row>
    <row r="7" spans="1:12" ht="22.5">
      <c r="A7" s="92">
        <v>6</v>
      </c>
      <c r="B7" s="135" t="s">
        <v>95</v>
      </c>
      <c r="C7" s="15">
        <v>2250000</v>
      </c>
      <c r="D7" s="136">
        <v>1690000</v>
      </c>
      <c r="E7" s="100">
        <v>760000</v>
      </c>
      <c r="F7" s="100"/>
      <c r="G7" s="106" t="s">
        <v>28</v>
      </c>
      <c r="H7" s="52">
        <v>1950000</v>
      </c>
      <c r="I7" s="49" t="s">
        <v>80</v>
      </c>
      <c r="J7" s="49" t="s">
        <v>125</v>
      </c>
      <c r="K7" s="102" t="s">
        <v>119</v>
      </c>
      <c r="L7" s="101">
        <v>46179</v>
      </c>
    </row>
    <row r="8" spans="1:12" ht="22.5">
      <c r="A8" s="92">
        <v>7</v>
      </c>
      <c r="B8" s="104" t="s">
        <v>105</v>
      </c>
      <c r="C8" s="15">
        <v>1800000</v>
      </c>
      <c r="D8" s="125">
        <v>1100000</v>
      </c>
      <c r="E8" s="100"/>
      <c r="F8" s="100">
        <v>1420000</v>
      </c>
      <c r="G8" s="108" t="s">
        <v>82</v>
      </c>
      <c r="H8" s="52"/>
      <c r="I8" s="49" t="s">
        <v>118</v>
      </c>
      <c r="J8" s="49"/>
      <c r="K8" s="102" t="s">
        <v>119</v>
      </c>
      <c r="L8" s="101">
        <v>46182</v>
      </c>
    </row>
    <row r="9" spans="1:12" ht="22.5">
      <c r="A9" s="92">
        <v>8</v>
      </c>
      <c r="B9" s="135" t="s">
        <v>100</v>
      </c>
      <c r="C9" s="15">
        <v>1940000</v>
      </c>
      <c r="D9" s="136">
        <v>1480000</v>
      </c>
      <c r="E9" s="100">
        <v>660000</v>
      </c>
      <c r="F9" s="15"/>
      <c r="G9" s="103" t="s">
        <v>123</v>
      </c>
      <c r="H9" s="52">
        <v>2140000</v>
      </c>
      <c r="I9" s="49" t="s">
        <v>120</v>
      </c>
      <c r="J9" s="49" t="s">
        <v>125</v>
      </c>
      <c r="K9" s="102" t="s">
        <v>122</v>
      </c>
      <c r="L9" s="101">
        <v>46182</v>
      </c>
    </row>
    <row r="10" spans="1:12" ht="22.5">
      <c r="A10" s="92">
        <v>9</v>
      </c>
      <c r="B10" s="135" t="s">
        <v>95</v>
      </c>
      <c r="C10" s="15">
        <v>2250000</v>
      </c>
      <c r="D10" s="136">
        <v>1690000</v>
      </c>
      <c r="E10" s="100">
        <v>750000</v>
      </c>
      <c r="F10" s="100"/>
      <c r="G10" s="106" t="s">
        <v>28</v>
      </c>
      <c r="H10" s="52">
        <v>2440000</v>
      </c>
      <c r="I10" s="49" t="s">
        <v>126</v>
      </c>
      <c r="J10" s="49" t="s">
        <v>125</v>
      </c>
      <c r="K10" s="102" t="s">
        <v>119</v>
      </c>
      <c r="L10" s="101">
        <v>46182</v>
      </c>
    </row>
    <row r="11" spans="1:12" ht="22.5">
      <c r="A11" s="92">
        <v>10</v>
      </c>
      <c r="B11" s="33" t="s">
        <v>11</v>
      </c>
      <c r="C11" s="15">
        <v>3500000</v>
      </c>
      <c r="D11" s="124">
        <v>2600000</v>
      </c>
      <c r="E11" s="100"/>
      <c r="F11" s="100">
        <v>3518000</v>
      </c>
      <c r="G11" s="108" t="s">
        <v>82</v>
      </c>
      <c r="H11" s="52"/>
      <c r="I11" s="49" t="s">
        <v>120</v>
      </c>
      <c r="J11" s="49"/>
      <c r="K11" s="102" t="s">
        <v>128</v>
      </c>
      <c r="L11" s="101">
        <v>46183</v>
      </c>
    </row>
    <row r="12" spans="1:12" ht="22.5">
      <c r="A12" s="92">
        <v>11</v>
      </c>
      <c r="B12" s="126" t="s">
        <v>86</v>
      </c>
      <c r="C12" s="15">
        <v>1790000</v>
      </c>
      <c r="D12" s="106">
        <v>1320000</v>
      </c>
      <c r="E12" s="100">
        <v>680000</v>
      </c>
      <c r="F12" s="100"/>
      <c r="G12" s="103" t="s">
        <v>129</v>
      </c>
      <c r="H12" s="52">
        <v>2000000</v>
      </c>
      <c r="I12" s="49" t="s">
        <v>118</v>
      </c>
      <c r="J12" s="49" t="s">
        <v>125</v>
      </c>
      <c r="K12" s="102" t="s">
        <v>122</v>
      </c>
      <c r="L12" s="101">
        <v>46183</v>
      </c>
    </row>
    <row r="13" spans="1:12" ht="22.5">
      <c r="A13" s="92">
        <v>12</v>
      </c>
      <c r="B13" s="104" t="s">
        <v>51</v>
      </c>
      <c r="C13" s="15">
        <v>1900000</v>
      </c>
      <c r="D13" s="125">
        <v>1100000</v>
      </c>
      <c r="E13" s="100"/>
      <c r="F13" s="100">
        <v>2600000</v>
      </c>
      <c r="G13" s="108" t="s">
        <v>82</v>
      </c>
      <c r="H13" s="52"/>
      <c r="I13" s="49" t="s">
        <v>120</v>
      </c>
      <c r="J13" s="49"/>
      <c r="K13" s="102" t="s">
        <v>122</v>
      </c>
      <c r="L13" s="101">
        <v>46183</v>
      </c>
    </row>
    <row r="14" spans="1:12" ht="22.5">
      <c r="A14" s="92">
        <v>13</v>
      </c>
      <c r="B14" s="40" t="s">
        <v>69</v>
      </c>
      <c r="C14" s="15">
        <v>3300000</v>
      </c>
      <c r="D14" s="124">
        <v>2300000</v>
      </c>
      <c r="E14" s="100">
        <v>1200000</v>
      </c>
      <c r="F14" s="15"/>
      <c r="G14" s="103" t="s">
        <v>123</v>
      </c>
      <c r="H14" s="52">
        <v>2500000</v>
      </c>
      <c r="I14" s="49" t="s">
        <v>120</v>
      </c>
      <c r="J14" s="49" t="s">
        <v>125</v>
      </c>
      <c r="K14" s="102" t="s">
        <v>122</v>
      </c>
      <c r="L14" s="101">
        <v>46185</v>
      </c>
    </row>
    <row r="15" spans="1:12" ht="22.5">
      <c r="A15" s="92">
        <v>14</v>
      </c>
      <c r="B15" s="126" t="s">
        <v>86</v>
      </c>
      <c r="C15" s="15">
        <v>1790000</v>
      </c>
      <c r="D15" s="106">
        <v>1320000</v>
      </c>
      <c r="E15" s="100">
        <v>680000</v>
      </c>
      <c r="F15" s="15"/>
      <c r="G15" s="106" t="s">
        <v>28</v>
      </c>
      <c r="H15" s="52">
        <v>2000000</v>
      </c>
      <c r="I15" s="49" t="s">
        <v>126</v>
      </c>
      <c r="J15" s="49" t="s">
        <v>125</v>
      </c>
      <c r="K15" s="139" t="s">
        <v>134</v>
      </c>
      <c r="L15" s="101">
        <v>46185</v>
      </c>
    </row>
    <row r="16" spans="1:12" ht="22.5">
      <c r="A16" s="92">
        <v>15</v>
      </c>
      <c r="B16" s="33" t="s">
        <v>130</v>
      </c>
      <c r="C16" s="15">
        <v>3900000</v>
      </c>
      <c r="D16" s="137">
        <v>2900000</v>
      </c>
      <c r="E16" s="100">
        <v>1200000</v>
      </c>
      <c r="F16" s="15"/>
      <c r="G16" s="103" t="s">
        <v>123</v>
      </c>
      <c r="H16" s="52">
        <v>4100000</v>
      </c>
      <c r="I16" s="49" t="s">
        <v>120</v>
      </c>
      <c r="J16" s="49" t="s">
        <v>125</v>
      </c>
      <c r="K16" s="53" t="s">
        <v>121</v>
      </c>
      <c r="L16" s="101">
        <v>46188</v>
      </c>
    </row>
    <row r="17" spans="1:12" ht="22.5">
      <c r="A17" s="92">
        <v>16</v>
      </c>
      <c r="B17" s="126" t="s">
        <v>24</v>
      </c>
      <c r="C17" s="15">
        <v>2000000</v>
      </c>
      <c r="D17" s="111">
        <v>1100000</v>
      </c>
      <c r="E17" s="100">
        <v>1100000</v>
      </c>
      <c r="F17" s="100"/>
      <c r="G17" s="103" t="s">
        <v>123</v>
      </c>
      <c r="H17" s="52">
        <v>2200000</v>
      </c>
      <c r="I17" s="49" t="s">
        <v>120</v>
      </c>
      <c r="J17" s="49" t="s">
        <v>125</v>
      </c>
      <c r="K17" s="139" t="s">
        <v>134</v>
      </c>
      <c r="L17" s="101">
        <v>46190</v>
      </c>
    </row>
    <row r="18" spans="1:12" ht="22.5">
      <c r="A18" s="92">
        <v>17</v>
      </c>
      <c r="B18" s="104" t="s">
        <v>103</v>
      </c>
      <c r="C18" s="15">
        <v>4200000</v>
      </c>
      <c r="D18" s="105">
        <v>3200000</v>
      </c>
      <c r="E18" s="100">
        <v>1200000</v>
      </c>
      <c r="F18" s="15"/>
      <c r="G18" s="106" t="s">
        <v>28</v>
      </c>
      <c r="H18" s="52">
        <v>4200000</v>
      </c>
      <c r="I18" s="49" t="s">
        <v>126</v>
      </c>
      <c r="J18" s="49" t="s">
        <v>125</v>
      </c>
      <c r="K18" s="139" t="s">
        <v>134</v>
      </c>
      <c r="L18" s="101">
        <v>46192</v>
      </c>
    </row>
    <row r="19" spans="1:12" ht="22.5">
      <c r="A19" s="92">
        <v>18</v>
      </c>
      <c r="B19" s="33" t="s">
        <v>21</v>
      </c>
      <c r="C19" s="15">
        <v>4500000</v>
      </c>
      <c r="D19" s="124">
        <v>3500000</v>
      </c>
      <c r="E19" s="100">
        <v>1200000</v>
      </c>
      <c r="F19" s="15"/>
      <c r="G19" s="106" t="s">
        <v>28</v>
      </c>
      <c r="H19" s="52">
        <v>2700000</v>
      </c>
      <c r="I19" s="49" t="s">
        <v>118</v>
      </c>
      <c r="J19" s="49" t="s">
        <v>125</v>
      </c>
      <c r="K19" s="139" t="s">
        <v>134</v>
      </c>
      <c r="L19" s="101">
        <v>46192</v>
      </c>
    </row>
    <row r="20" spans="1:12" ht="22.5">
      <c r="A20" s="92">
        <v>19</v>
      </c>
      <c r="B20" s="33" t="s">
        <v>35</v>
      </c>
      <c r="C20" s="15">
        <v>5500000</v>
      </c>
      <c r="D20" s="124">
        <v>4300000</v>
      </c>
      <c r="E20" s="100">
        <v>1200000</v>
      </c>
      <c r="F20" s="15"/>
      <c r="G20" s="106" t="s">
        <v>117</v>
      </c>
      <c r="H20" s="52"/>
      <c r="I20" s="49" t="s">
        <v>120</v>
      </c>
      <c r="J20" s="49"/>
      <c r="K20" s="53" t="s">
        <v>121</v>
      </c>
      <c r="L20" s="101">
        <v>46192</v>
      </c>
    </row>
    <row r="21" spans="1:12" ht="22.5">
      <c r="A21" s="92">
        <v>20</v>
      </c>
      <c r="B21" s="126" t="s">
        <v>86</v>
      </c>
      <c r="C21" s="15">
        <v>1790000</v>
      </c>
      <c r="D21" s="106">
        <v>1320000</v>
      </c>
      <c r="E21" s="100">
        <v>680000</v>
      </c>
      <c r="F21" s="100"/>
      <c r="G21" s="103" t="s">
        <v>123</v>
      </c>
      <c r="H21" s="52">
        <v>2000000</v>
      </c>
      <c r="I21" s="49" t="s">
        <v>120</v>
      </c>
      <c r="J21" s="49" t="s">
        <v>125</v>
      </c>
      <c r="K21" s="53" t="s">
        <v>121</v>
      </c>
      <c r="L21" s="101">
        <v>46192</v>
      </c>
    </row>
    <row r="22" spans="1:12" ht="22.5">
      <c r="A22" s="92">
        <v>21</v>
      </c>
      <c r="B22" s="104" t="s">
        <v>115</v>
      </c>
      <c r="C22" s="15">
        <v>1300000</v>
      </c>
      <c r="D22" s="125">
        <v>500000</v>
      </c>
      <c r="E22" s="100"/>
      <c r="F22" s="100">
        <v>1440000</v>
      </c>
      <c r="G22" s="108" t="s">
        <v>82</v>
      </c>
      <c r="H22" s="52"/>
      <c r="I22" s="49" t="s">
        <v>118</v>
      </c>
      <c r="J22" s="49"/>
      <c r="K22" s="139" t="s">
        <v>134</v>
      </c>
      <c r="L22" s="101">
        <v>46193</v>
      </c>
    </row>
    <row r="23" spans="1:12" ht="22.5">
      <c r="A23" s="92">
        <v>22</v>
      </c>
      <c r="B23" s="33" t="s">
        <v>9</v>
      </c>
      <c r="C23" s="15">
        <v>3600000</v>
      </c>
      <c r="D23" s="124">
        <v>2600000</v>
      </c>
      <c r="E23" s="100">
        <v>1000000</v>
      </c>
      <c r="F23" s="15"/>
      <c r="G23" s="106" t="s">
        <v>117</v>
      </c>
      <c r="H23" s="52"/>
      <c r="I23" s="49" t="s">
        <v>118</v>
      </c>
      <c r="J23" s="49"/>
      <c r="K23" s="102" t="s">
        <v>122</v>
      </c>
      <c r="L23" s="101">
        <v>46193</v>
      </c>
    </row>
    <row r="24" spans="1:12" ht="22.5">
      <c r="A24" s="92">
        <v>23</v>
      </c>
      <c r="B24" s="14" t="s">
        <v>12</v>
      </c>
      <c r="C24" s="15">
        <v>1200000</v>
      </c>
      <c r="D24" s="110">
        <v>850000</v>
      </c>
      <c r="E24" s="100">
        <v>800000</v>
      </c>
      <c r="F24" s="100"/>
      <c r="G24" s="106" t="s">
        <v>117</v>
      </c>
      <c r="H24" s="52"/>
      <c r="I24" s="49" t="s">
        <v>120</v>
      </c>
      <c r="J24" s="49"/>
      <c r="K24" s="53" t="s">
        <v>121</v>
      </c>
      <c r="L24" s="101">
        <v>46193</v>
      </c>
    </row>
    <row r="25" spans="1:12" ht="22.5">
      <c r="A25" s="92">
        <v>24</v>
      </c>
      <c r="B25" s="40" t="s">
        <v>75</v>
      </c>
      <c r="C25" s="47">
        <v>3800000</v>
      </c>
      <c r="D25" s="124">
        <v>2600000</v>
      </c>
      <c r="E25" s="100"/>
      <c r="F25" s="100">
        <v>2640000</v>
      </c>
      <c r="G25" s="108" t="s">
        <v>82</v>
      </c>
      <c r="H25" s="52"/>
      <c r="I25" s="49" t="s">
        <v>118</v>
      </c>
      <c r="J25" s="49"/>
      <c r="K25" s="139" t="s">
        <v>134</v>
      </c>
      <c r="L25" s="101">
        <v>46195</v>
      </c>
    </row>
    <row r="26" spans="1:12" ht="22.5">
      <c r="A26" s="98">
        <v>25</v>
      </c>
      <c r="B26" s="104" t="s">
        <v>76</v>
      </c>
      <c r="C26" s="15">
        <v>2200000</v>
      </c>
      <c r="D26" s="111">
        <v>1200000</v>
      </c>
      <c r="E26" s="100"/>
      <c r="F26" s="100">
        <v>2400000</v>
      </c>
      <c r="G26" s="108" t="s">
        <v>82</v>
      </c>
      <c r="H26" s="52"/>
      <c r="I26" s="49" t="s">
        <v>118</v>
      </c>
      <c r="J26" s="49"/>
      <c r="K26" s="139" t="s">
        <v>134</v>
      </c>
      <c r="L26" s="101">
        <v>46195</v>
      </c>
    </row>
    <row r="27" spans="1:12" ht="22.5">
      <c r="A27" s="98">
        <v>26</v>
      </c>
      <c r="B27" s="104" t="s">
        <v>106</v>
      </c>
      <c r="C27" s="15">
        <v>2000000</v>
      </c>
      <c r="D27" s="105">
        <v>1100000</v>
      </c>
      <c r="E27" s="100"/>
      <c r="F27" s="100">
        <v>2396000</v>
      </c>
      <c r="G27" s="108" t="s">
        <v>82</v>
      </c>
      <c r="H27" s="52"/>
      <c r="I27" s="49" t="s">
        <v>126</v>
      </c>
      <c r="J27" s="49"/>
      <c r="K27" s="102" t="s">
        <v>122</v>
      </c>
      <c r="L27" s="101">
        <v>46197</v>
      </c>
    </row>
    <row r="28" spans="1:12" ht="22.5">
      <c r="A28" s="98">
        <v>27</v>
      </c>
      <c r="B28" s="104" t="s">
        <v>145</v>
      </c>
      <c r="C28" s="15">
        <v>3300000</v>
      </c>
      <c r="D28" s="109">
        <v>2500000</v>
      </c>
      <c r="E28" s="100">
        <v>1300000</v>
      </c>
      <c r="F28" s="15"/>
      <c r="G28" s="103" t="s">
        <v>123</v>
      </c>
      <c r="H28" s="52">
        <v>3500000</v>
      </c>
      <c r="I28" s="49" t="s">
        <v>118</v>
      </c>
      <c r="J28" s="49"/>
      <c r="K28" s="139" t="s">
        <v>134</v>
      </c>
      <c r="L28" s="101">
        <v>46197</v>
      </c>
    </row>
    <row r="29" spans="1:12" ht="22.5">
      <c r="A29" s="98">
        <v>28</v>
      </c>
      <c r="B29" s="135" t="s">
        <v>93</v>
      </c>
      <c r="C29" s="15">
        <v>2250000</v>
      </c>
      <c r="D29" s="136">
        <v>1690000</v>
      </c>
      <c r="E29" s="100">
        <v>760000</v>
      </c>
      <c r="F29" s="100"/>
      <c r="G29" s="103" t="s">
        <v>123</v>
      </c>
      <c r="H29" s="52">
        <v>2450000</v>
      </c>
      <c r="I29" s="49" t="s">
        <v>126</v>
      </c>
      <c r="J29" s="49"/>
      <c r="K29" s="139" t="s">
        <v>134</v>
      </c>
      <c r="L29" s="101">
        <v>46198</v>
      </c>
    </row>
    <row r="30" spans="1:12" ht="22.5">
      <c r="A30" s="98">
        <v>29</v>
      </c>
      <c r="B30" s="40" t="s">
        <v>27</v>
      </c>
      <c r="C30" s="47">
        <v>2400000</v>
      </c>
      <c r="D30" s="124">
        <v>1400000</v>
      </c>
      <c r="E30" s="100"/>
      <c r="F30" s="100">
        <v>2396000</v>
      </c>
      <c r="G30" s="108" t="s">
        <v>82</v>
      </c>
      <c r="H30" s="52"/>
      <c r="I30" s="49" t="s">
        <v>120</v>
      </c>
      <c r="J30" s="49"/>
      <c r="K30" s="139" t="s">
        <v>134</v>
      </c>
      <c r="L30" s="101">
        <v>46198</v>
      </c>
    </row>
    <row r="31" spans="1:12" ht="22.5">
      <c r="A31" s="98">
        <v>30</v>
      </c>
      <c r="B31" s="104" t="s">
        <v>55</v>
      </c>
      <c r="C31" s="15">
        <v>2000000</v>
      </c>
      <c r="D31" s="166">
        <v>1400000</v>
      </c>
      <c r="E31" s="100"/>
      <c r="F31" s="100">
        <v>1400000</v>
      </c>
      <c r="G31" s="108" t="s">
        <v>82</v>
      </c>
      <c r="H31" s="52"/>
      <c r="I31" s="49" t="s">
        <v>118</v>
      </c>
      <c r="J31" s="49"/>
      <c r="K31" s="139" t="s">
        <v>134</v>
      </c>
      <c r="L31" s="101">
        <v>46199</v>
      </c>
    </row>
    <row r="32" spans="1:12" ht="22.5">
      <c r="A32" s="98">
        <v>31</v>
      </c>
      <c r="B32" s="104" t="s">
        <v>140</v>
      </c>
      <c r="C32" s="15">
        <v>1600000</v>
      </c>
      <c r="D32" s="105">
        <v>800000</v>
      </c>
      <c r="E32" s="100"/>
      <c r="F32" s="100">
        <v>2296000</v>
      </c>
      <c r="G32" s="108" t="s">
        <v>82</v>
      </c>
      <c r="H32" s="52"/>
      <c r="I32" s="49" t="s">
        <v>118</v>
      </c>
      <c r="J32" s="49"/>
      <c r="K32" s="139" t="s">
        <v>134</v>
      </c>
      <c r="L32" s="101">
        <v>46200</v>
      </c>
    </row>
    <row r="33" spans="1:12" ht="22.5">
      <c r="A33" s="98">
        <v>32</v>
      </c>
      <c r="B33" s="104" t="s">
        <v>147</v>
      </c>
      <c r="C33" s="15">
        <v>1400000</v>
      </c>
      <c r="D33" s="109">
        <v>500000</v>
      </c>
      <c r="E33" s="100"/>
      <c r="F33" s="100">
        <v>15400000</v>
      </c>
      <c r="G33" s="108" t="s">
        <v>82</v>
      </c>
      <c r="H33" s="52"/>
      <c r="I33" s="49" t="s">
        <v>120</v>
      </c>
      <c r="J33" s="49"/>
      <c r="K33" s="102" t="s">
        <v>122</v>
      </c>
      <c r="L33" s="101">
        <v>46202</v>
      </c>
    </row>
    <row r="34" spans="1:12" ht="22.5">
      <c r="A34" s="98">
        <v>33</v>
      </c>
      <c r="B34" s="104" t="s">
        <v>182</v>
      </c>
      <c r="C34" s="15">
        <v>2000000</v>
      </c>
      <c r="D34" s="166">
        <v>1200000</v>
      </c>
      <c r="E34" s="100"/>
      <c r="F34" s="100">
        <v>1800000</v>
      </c>
      <c r="G34" s="108" t="s">
        <v>82</v>
      </c>
      <c r="H34" s="52"/>
      <c r="I34" s="49" t="s">
        <v>118</v>
      </c>
      <c r="J34" s="49"/>
      <c r="K34" s="139" t="s">
        <v>134</v>
      </c>
      <c r="L34" s="101">
        <v>46202</v>
      </c>
    </row>
    <row r="35" spans="1:12" ht="22.5">
      <c r="A35" s="98">
        <v>34</v>
      </c>
      <c r="B35" s="33" t="s">
        <v>131</v>
      </c>
      <c r="C35" s="15">
        <v>4900000</v>
      </c>
      <c r="D35" s="137">
        <v>3500000</v>
      </c>
      <c r="E35" s="100">
        <v>1600000</v>
      </c>
      <c r="F35" s="15"/>
      <c r="G35" s="106" t="s">
        <v>28</v>
      </c>
      <c r="H35" s="52">
        <v>5100000</v>
      </c>
      <c r="I35" s="49" t="s">
        <v>126</v>
      </c>
      <c r="J35" s="49"/>
      <c r="K35" s="139" t="s">
        <v>134</v>
      </c>
      <c r="L35" s="101">
        <v>46202</v>
      </c>
    </row>
    <row r="36" spans="1:12" ht="22.5">
      <c r="A36" s="98">
        <v>35</v>
      </c>
      <c r="B36" s="33" t="s">
        <v>41</v>
      </c>
      <c r="C36" s="15">
        <v>4200000</v>
      </c>
      <c r="D36" s="124">
        <v>3400000</v>
      </c>
      <c r="E36" s="100">
        <v>1000000</v>
      </c>
      <c r="F36" s="15"/>
      <c r="G36" s="106" t="s">
        <v>28</v>
      </c>
      <c r="H36" s="52">
        <v>4400000</v>
      </c>
      <c r="I36" s="49" t="s">
        <v>118</v>
      </c>
      <c r="J36" s="49"/>
      <c r="K36" s="139" t="s">
        <v>134</v>
      </c>
      <c r="L36" s="101">
        <v>46202</v>
      </c>
    </row>
    <row r="37" spans="1:12" ht="22.5">
      <c r="A37" s="98">
        <v>36</v>
      </c>
      <c r="B37" s="104" t="s">
        <v>183</v>
      </c>
      <c r="C37" s="15">
        <v>1600000</v>
      </c>
      <c r="D37" s="105">
        <v>1050000</v>
      </c>
      <c r="E37" s="100">
        <v>300000</v>
      </c>
      <c r="F37" s="15"/>
      <c r="G37" s="103" t="s">
        <v>123</v>
      </c>
      <c r="H37" s="52">
        <v>1850000</v>
      </c>
      <c r="I37" s="49" t="s">
        <v>126</v>
      </c>
      <c r="J37" s="49"/>
      <c r="K37" s="139" t="s">
        <v>134</v>
      </c>
      <c r="L37" s="101">
        <v>46202</v>
      </c>
    </row>
    <row r="38" spans="1:12" ht="22.5">
      <c r="A38" s="98">
        <v>37</v>
      </c>
      <c r="B38" s="104" t="s">
        <v>77</v>
      </c>
      <c r="C38" s="15">
        <v>2000000</v>
      </c>
      <c r="D38" s="166">
        <v>1300000</v>
      </c>
      <c r="E38" s="100"/>
      <c r="F38" s="100">
        <v>2196000</v>
      </c>
      <c r="G38" s="108" t="s">
        <v>82</v>
      </c>
      <c r="H38" s="52"/>
      <c r="I38" s="49" t="s">
        <v>118</v>
      </c>
      <c r="J38" s="49"/>
      <c r="K38" s="139" t="s">
        <v>134</v>
      </c>
      <c r="L38" s="101">
        <v>46202</v>
      </c>
    </row>
    <row r="39" spans="1:12" ht="22.5">
      <c r="A39" s="98">
        <v>38</v>
      </c>
      <c r="B39" s="104"/>
      <c r="C39" s="15"/>
      <c r="D39" s="105"/>
      <c r="E39" s="100"/>
      <c r="F39" s="15"/>
      <c r="G39" s="106"/>
      <c r="H39" s="52"/>
      <c r="I39" s="49"/>
      <c r="J39" s="49"/>
      <c r="K39" s="102"/>
      <c r="L39" s="101"/>
    </row>
    <row r="40" spans="1:12" ht="22.5">
      <c r="A40" s="98">
        <v>39</v>
      </c>
      <c r="B40" s="104"/>
      <c r="C40" s="15"/>
      <c r="D40" s="105"/>
      <c r="E40" s="100"/>
      <c r="F40" s="15"/>
      <c r="G40" s="106"/>
      <c r="H40" s="52"/>
      <c r="I40" s="49"/>
      <c r="J40" s="49"/>
      <c r="K40" s="102"/>
      <c r="L40" s="101"/>
    </row>
    <row r="41" spans="1:12" ht="22.5">
      <c r="A41" s="98">
        <v>40</v>
      </c>
      <c r="B41" s="104"/>
      <c r="C41" s="15"/>
      <c r="D41" s="105"/>
      <c r="E41" s="100"/>
      <c r="F41" s="15"/>
      <c r="G41" s="106"/>
      <c r="H41" s="52"/>
      <c r="I41" s="49"/>
      <c r="J41" s="49"/>
      <c r="K41" s="102"/>
      <c r="L41" s="101"/>
    </row>
    <row r="42" spans="1:12" ht="22.5">
      <c r="A42" s="98">
        <v>41</v>
      </c>
      <c r="B42" s="104"/>
      <c r="C42" s="15"/>
      <c r="D42" s="105"/>
      <c r="E42" s="100"/>
      <c r="F42" s="15"/>
      <c r="G42" s="106"/>
      <c r="H42" s="52"/>
      <c r="I42" s="49"/>
      <c r="J42" s="49"/>
      <c r="K42" s="102"/>
      <c r="L42" s="101"/>
    </row>
    <row r="43" spans="1:12" ht="22.5">
      <c r="A43" s="98">
        <v>42</v>
      </c>
      <c r="B43" s="104"/>
      <c r="C43" s="15"/>
      <c r="D43" s="105"/>
      <c r="E43" s="100"/>
      <c r="F43" s="15"/>
      <c r="G43" s="106"/>
      <c r="H43" s="52"/>
      <c r="I43" s="49"/>
      <c r="J43" s="49"/>
      <c r="K43" s="102"/>
      <c r="L43" s="101"/>
    </row>
    <row r="44" spans="1:12" ht="22.5">
      <c r="A44" s="98">
        <v>43</v>
      </c>
      <c r="B44" s="104"/>
      <c r="C44" s="15"/>
      <c r="D44" s="105"/>
      <c r="E44" s="100"/>
      <c r="F44" s="15"/>
      <c r="G44" s="106"/>
      <c r="H44" s="52"/>
      <c r="I44" s="49"/>
      <c r="J44" s="49"/>
      <c r="K44" s="102"/>
      <c r="L44" s="101"/>
    </row>
    <row r="45" spans="1:12" ht="22.5">
      <c r="A45" s="98">
        <v>44</v>
      </c>
      <c r="B45" s="104"/>
      <c r="C45" s="15"/>
      <c r="D45" s="105"/>
      <c r="E45" s="100"/>
      <c r="F45" s="15"/>
      <c r="G45" s="106"/>
      <c r="H45" s="52"/>
      <c r="I45" s="49"/>
      <c r="J45" s="49"/>
      <c r="K45" s="102"/>
      <c r="L45" s="101"/>
    </row>
    <row r="46" spans="1:12" ht="22.5">
      <c r="A46" s="98">
        <v>45</v>
      </c>
      <c r="B46" s="104"/>
      <c r="C46" s="15"/>
      <c r="D46" s="105"/>
      <c r="E46" s="100"/>
      <c r="F46" s="15"/>
      <c r="G46" s="106"/>
      <c r="H46" s="52"/>
      <c r="I46" s="49"/>
      <c r="J46" s="49"/>
      <c r="K46" s="102"/>
      <c r="L46" s="101"/>
    </row>
    <row r="47" spans="1:12" ht="22.5">
      <c r="A47" s="98">
        <v>46</v>
      </c>
      <c r="B47" s="14"/>
      <c r="C47" s="15"/>
      <c r="D47" s="15"/>
      <c r="E47" s="15"/>
      <c r="F47" s="15"/>
      <c r="G47" s="30"/>
      <c r="H47" s="52"/>
      <c r="I47" s="49"/>
      <c r="J47" s="49"/>
      <c r="K47" s="53"/>
      <c r="L47" s="53"/>
    </row>
    <row r="48" spans="1:12" ht="18.75">
      <c r="A48" s="98">
        <v>47</v>
      </c>
      <c r="B48" s="59"/>
      <c r="C48" s="22"/>
      <c r="D48" s="23">
        <f>SUM(D2:D47)</f>
        <v>70010000</v>
      </c>
      <c r="E48" s="23">
        <f>SUM(E2:E47)</f>
        <v>22820000</v>
      </c>
      <c r="F48" s="23">
        <f>SUM(F2:F47)</f>
        <v>44062000</v>
      </c>
      <c r="G48" s="44"/>
      <c r="H48" s="52">
        <f>SUM(H2:H47)</f>
        <v>53780000</v>
      </c>
      <c r="I48" s="49"/>
      <c r="J48" s="49"/>
      <c r="K48" s="49"/>
      <c r="L48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5451-D472-4A73-8815-52E6A6DD4E31}">
  <dimension ref="A1:L48"/>
  <sheetViews>
    <sheetView workbookViewId="0">
      <selection activeCell="K47" sqref="K47"/>
    </sheetView>
  </sheetViews>
  <sheetFormatPr baseColWidth="10" defaultRowHeight="15"/>
  <cols>
    <col min="1" max="1" width="3.28515625" bestFit="1" customWidth="1"/>
    <col min="2" max="2" width="51.85546875" bestFit="1" customWidth="1"/>
    <col min="3" max="3" width="20.85546875" bestFit="1" customWidth="1"/>
    <col min="4" max="4" width="14.42578125" bestFit="1" customWidth="1"/>
    <col min="5" max="5" width="17.85546875" bestFit="1" customWidth="1"/>
    <col min="6" max="6" width="22.42578125" bestFit="1" customWidth="1"/>
    <col min="7" max="7" width="16.5703125" bestFit="1" customWidth="1"/>
    <col min="8" max="8" width="11.5703125" bestFit="1" customWidth="1"/>
    <col min="9" max="9" width="10.85546875" bestFit="1" customWidth="1"/>
    <col min="10" max="10" width="7.7109375" bestFit="1" customWidth="1"/>
    <col min="11" max="11" width="17.85546875" bestFit="1" customWidth="1"/>
    <col min="12" max="12" width="9.42578125" bestFit="1" customWidth="1"/>
  </cols>
  <sheetData>
    <row r="1" spans="1:12" ht="18.75">
      <c r="A1" s="91"/>
      <c r="B1" s="16" t="s">
        <v>116</v>
      </c>
      <c r="C1" s="16" t="s">
        <v>2</v>
      </c>
      <c r="D1" s="19" t="s">
        <v>3</v>
      </c>
      <c r="E1" s="19" t="s">
        <v>5</v>
      </c>
      <c r="F1" s="19" t="s">
        <v>6</v>
      </c>
      <c r="G1" s="19" t="s">
        <v>13</v>
      </c>
      <c r="H1" s="49" t="s">
        <v>19</v>
      </c>
      <c r="I1" s="49" t="s">
        <v>22</v>
      </c>
      <c r="J1" s="49" t="s">
        <v>23</v>
      </c>
      <c r="K1" s="49" t="s">
        <v>30</v>
      </c>
      <c r="L1" s="49" t="s">
        <v>47</v>
      </c>
    </row>
    <row r="2" spans="1:12" ht="22.5">
      <c r="A2" s="92">
        <v>1</v>
      </c>
      <c r="B2" s="33" t="s">
        <v>114</v>
      </c>
      <c r="C2" s="15">
        <v>1900000</v>
      </c>
      <c r="D2" s="124">
        <v>900000</v>
      </c>
      <c r="E2" s="100">
        <v>600000</v>
      </c>
      <c r="F2" s="15"/>
      <c r="G2" s="106" t="s">
        <v>117</v>
      </c>
      <c r="H2" s="52"/>
      <c r="I2" s="49" t="s">
        <v>118</v>
      </c>
      <c r="J2" s="49"/>
      <c r="K2" s="102" t="s">
        <v>119</v>
      </c>
      <c r="L2" s="101">
        <v>46176</v>
      </c>
    </row>
    <row r="3" spans="1:12" ht="22.5">
      <c r="A3" s="92">
        <v>2</v>
      </c>
      <c r="B3" s="104" t="s">
        <v>83</v>
      </c>
      <c r="C3" s="15">
        <v>1700000</v>
      </c>
      <c r="D3" s="111">
        <v>1000000</v>
      </c>
      <c r="E3" s="100"/>
      <c r="F3" s="100">
        <v>2160000</v>
      </c>
      <c r="G3" s="103" t="s">
        <v>82</v>
      </c>
      <c r="H3" s="52"/>
      <c r="I3" s="49" t="s">
        <v>120</v>
      </c>
      <c r="J3" s="49"/>
      <c r="K3" s="53" t="s">
        <v>121</v>
      </c>
      <c r="L3" s="101">
        <v>46176</v>
      </c>
    </row>
    <row r="4" spans="1:12" ht="22.5">
      <c r="A4" s="92">
        <v>3</v>
      </c>
      <c r="B4" s="40" t="s">
        <v>50</v>
      </c>
      <c r="C4" s="47">
        <v>5500000</v>
      </c>
      <c r="D4" s="124">
        <v>4000000</v>
      </c>
      <c r="E4" s="100">
        <v>1500000</v>
      </c>
      <c r="F4" s="15"/>
      <c r="G4" s="106" t="s">
        <v>117</v>
      </c>
      <c r="H4" s="52"/>
      <c r="I4" s="49" t="s">
        <v>118</v>
      </c>
      <c r="J4" s="49"/>
      <c r="K4" s="102" t="s">
        <v>122</v>
      </c>
      <c r="L4" s="101">
        <v>46177</v>
      </c>
    </row>
    <row r="5" spans="1:12" ht="22.5">
      <c r="A5" s="92">
        <v>4</v>
      </c>
      <c r="B5" s="40" t="s">
        <v>104</v>
      </c>
      <c r="C5" s="15">
        <v>3800000</v>
      </c>
      <c r="D5" s="124">
        <v>2600000</v>
      </c>
      <c r="E5" s="100">
        <v>1600000</v>
      </c>
      <c r="F5" s="15"/>
      <c r="G5" s="103" t="s">
        <v>123</v>
      </c>
      <c r="H5" s="52">
        <v>4200000</v>
      </c>
      <c r="I5" s="49" t="s">
        <v>120</v>
      </c>
      <c r="J5" s="49" t="s">
        <v>125</v>
      </c>
      <c r="K5" s="102" t="s">
        <v>122</v>
      </c>
      <c r="L5" s="101">
        <v>46177</v>
      </c>
    </row>
    <row r="6" spans="1:12" ht="22.5">
      <c r="A6" s="92">
        <v>5</v>
      </c>
      <c r="B6" s="104" t="s">
        <v>84</v>
      </c>
      <c r="C6" s="15">
        <v>3800000</v>
      </c>
      <c r="D6" s="105">
        <v>3000000</v>
      </c>
      <c r="E6" s="100">
        <v>1050000</v>
      </c>
      <c r="F6" s="15"/>
      <c r="G6" s="106" t="s">
        <v>28</v>
      </c>
      <c r="H6" s="52">
        <v>4050000</v>
      </c>
      <c r="I6" s="49" t="s">
        <v>120</v>
      </c>
      <c r="J6" s="49" t="s">
        <v>125</v>
      </c>
      <c r="K6" s="53" t="s">
        <v>121</v>
      </c>
      <c r="L6" s="101">
        <v>46178</v>
      </c>
    </row>
    <row r="7" spans="1:12" ht="22.5">
      <c r="A7" s="92">
        <v>6</v>
      </c>
      <c r="B7" s="135" t="s">
        <v>95</v>
      </c>
      <c r="C7" s="15">
        <v>2250000</v>
      </c>
      <c r="D7" s="136">
        <v>1690000</v>
      </c>
      <c r="E7" s="100">
        <v>760000</v>
      </c>
      <c r="F7" s="100"/>
      <c r="G7" s="106" t="s">
        <v>28</v>
      </c>
      <c r="H7" s="52">
        <v>1950000</v>
      </c>
      <c r="I7" s="49" t="s">
        <v>80</v>
      </c>
      <c r="J7" s="49" t="s">
        <v>125</v>
      </c>
      <c r="K7" s="102" t="s">
        <v>119</v>
      </c>
      <c r="L7" s="101">
        <v>46179</v>
      </c>
    </row>
    <row r="8" spans="1:12" ht="22.5">
      <c r="A8" s="92">
        <v>7</v>
      </c>
      <c r="B8" s="104" t="s">
        <v>105</v>
      </c>
      <c r="C8" s="15">
        <v>1800000</v>
      </c>
      <c r="D8" s="125">
        <v>1100000</v>
      </c>
      <c r="E8" s="100"/>
      <c r="F8" s="100">
        <v>1420000</v>
      </c>
      <c r="G8" s="108" t="s">
        <v>82</v>
      </c>
      <c r="H8" s="52"/>
      <c r="I8" s="49" t="s">
        <v>118</v>
      </c>
      <c r="J8" s="49"/>
      <c r="K8" s="102" t="s">
        <v>119</v>
      </c>
      <c r="L8" s="101">
        <v>46182</v>
      </c>
    </row>
    <row r="9" spans="1:12" ht="22.5">
      <c r="A9" s="92">
        <v>8</v>
      </c>
      <c r="B9" s="135" t="s">
        <v>100</v>
      </c>
      <c r="C9" s="15">
        <v>1940000</v>
      </c>
      <c r="D9" s="136">
        <v>1480000</v>
      </c>
      <c r="E9" s="100">
        <v>660000</v>
      </c>
      <c r="F9" s="15"/>
      <c r="G9" s="103" t="s">
        <v>123</v>
      </c>
      <c r="H9" s="52">
        <v>2140000</v>
      </c>
      <c r="I9" s="49" t="s">
        <v>120</v>
      </c>
      <c r="J9" s="49" t="s">
        <v>125</v>
      </c>
      <c r="K9" s="102" t="s">
        <v>122</v>
      </c>
      <c r="L9" s="101">
        <v>46182</v>
      </c>
    </row>
    <row r="10" spans="1:12" ht="22.5">
      <c r="A10" s="92">
        <v>9</v>
      </c>
      <c r="B10" s="135" t="s">
        <v>95</v>
      </c>
      <c r="C10" s="15">
        <v>2250000</v>
      </c>
      <c r="D10" s="136">
        <v>1690000</v>
      </c>
      <c r="E10" s="100">
        <v>750000</v>
      </c>
      <c r="F10" s="100"/>
      <c r="G10" s="106" t="s">
        <v>28</v>
      </c>
      <c r="H10" s="52">
        <v>2440000</v>
      </c>
      <c r="I10" s="49" t="s">
        <v>126</v>
      </c>
      <c r="J10" s="49" t="s">
        <v>125</v>
      </c>
      <c r="K10" s="102" t="s">
        <v>119</v>
      </c>
      <c r="L10" s="101">
        <v>46182</v>
      </c>
    </row>
    <row r="11" spans="1:12" ht="22.5">
      <c r="A11" s="92">
        <v>10</v>
      </c>
      <c r="B11" s="33" t="s">
        <v>11</v>
      </c>
      <c r="C11" s="15">
        <v>3500000</v>
      </c>
      <c r="D11" s="124">
        <v>2600000</v>
      </c>
      <c r="E11" s="100"/>
      <c r="F11" s="100">
        <v>3518000</v>
      </c>
      <c r="G11" s="108" t="s">
        <v>82</v>
      </c>
      <c r="H11" s="52"/>
      <c r="I11" s="49" t="s">
        <v>120</v>
      </c>
      <c r="J11" s="49"/>
      <c r="K11" s="102" t="s">
        <v>128</v>
      </c>
      <c r="L11" s="101">
        <v>46183</v>
      </c>
    </row>
    <row r="12" spans="1:12" ht="22.5">
      <c r="A12" s="92">
        <v>11</v>
      </c>
      <c r="B12" s="126" t="s">
        <v>86</v>
      </c>
      <c r="C12" s="15">
        <v>1790000</v>
      </c>
      <c r="D12" s="106">
        <v>1320000</v>
      </c>
      <c r="E12" s="100">
        <v>680000</v>
      </c>
      <c r="F12" s="100"/>
      <c r="G12" s="103" t="s">
        <v>129</v>
      </c>
      <c r="H12" s="52">
        <v>2000000</v>
      </c>
      <c r="I12" s="49" t="s">
        <v>118</v>
      </c>
      <c r="J12" s="49" t="s">
        <v>125</v>
      </c>
      <c r="K12" s="102" t="s">
        <v>122</v>
      </c>
      <c r="L12" s="101">
        <v>46183</v>
      </c>
    </row>
    <row r="13" spans="1:12" ht="22.5">
      <c r="A13" s="92">
        <v>12</v>
      </c>
      <c r="B13" s="104" t="s">
        <v>51</v>
      </c>
      <c r="C13" s="15">
        <v>1900000</v>
      </c>
      <c r="D13" s="125">
        <v>1100000</v>
      </c>
      <c r="E13" s="100"/>
      <c r="F13" s="100">
        <v>2600000</v>
      </c>
      <c r="G13" s="108" t="s">
        <v>82</v>
      </c>
      <c r="H13" s="52"/>
      <c r="I13" s="49" t="s">
        <v>120</v>
      </c>
      <c r="J13" s="49"/>
      <c r="K13" s="102" t="s">
        <v>122</v>
      </c>
      <c r="L13" s="101">
        <v>46183</v>
      </c>
    </row>
    <row r="14" spans="1:12" ht="22.5">
      <c r="A14" s="92">
        <v>13</v>
      </c>
      <c r="B14" s="40" t="s">
        <v>69</v>
      </c>
      <c r="C14" s="15">
        <v>3300000</v>
      </c>
      <c r="D14" s="124">
        <v>2300000</v>
      </c>
      <c r="E14" s="100">
        <v>1200000</v>
      </c>
      <c r="F14" s="15"/>
      <c r="G14" s="103" t="s">
        <v>123</v>
      </c>
      <c r="H14" s="52">
        <v>2500000</v>
      </c>
      <c r="I14" s="49" t="s">
        <v>120</v>
      </c>
      <c r="J14" s="49" t="s">
        <v>125</v>
      </c>
      <c r="K14" s="102" t="s">
        <v>122</v>
      </c>
      <c r="L14" s="101">
        <v>46185</v>
      </c>
    </row>
    <row r="15" spans="1:12" ht="22.5">
      <c r="A15" s="92">
        <v>14</v>
      </c>
      <c r="B15" s="126" t="s">
        <v>86</v>
      </c>
      <c r="C15" s="15">
        <v>1790000</v>
      </c>
      <c r="D15" s="106">
        <v>1320000</v>
      </c>
      <c r="E15" s="100">
        <v>680000</v>
      </c>
      <c r="F15" s="15"/>
      <c r="G15" s="106" t="s">
        <v>28</v>
      </c>
      <c r="H15" s="52">
        <v>2000000</v>
      </c>
      <c r="I15" s="49" t="s">
        <v>126</v>
      </c>
      <c r="J15" s="49" t="s">
        <v>125</v>
      </c>
      <c r="K15" s="139" t="s">
        <v>134</v>
      </c>
      <c r="L15" s="101">
        <v>46185</v>
      </c>
    </row>
    <row r="16" spans="1:12" ht="22.5">
      <c r="A16" s="92">
        <v>15</v>
      </c>
      <c r="B16" s="33" t="s">
        <v>130</v>
      </c>
      <c r="C16" s="15">
        <v>3900000</v>
      </c>
      <c r="D16" s="137">
        <v>2900000</v>
      </c>
      <c r="E16" s="100">
        <v>1200000</v>
      </c>
      <c r="F16" s="15"/>
      <c r="G16" s="103" t="s">
        <v>123</v>
      </c>
      <c r="H16" s="52">
        <v>4100000</v>
      </c>
      <c r="I16" s="49" t="s">
        <v>120</v>
      </c>
      <c r="J16" s="49" t="s">
        <v>125</v>
      </c>
      <c r="K16" s="53" t="s">
        <v>121</v>
      </c>
      <c r="L16" s="101">
        <v>46188</v>
      </c>
    </row>
    <row r="17" spans="1:12" ht="22.5">
      <c r="A17" s="92">
        <v>16</v>
      </c>
      <c r="B17" s="126" t="s">
        <v>24</v>
      </c>
      <c r="C17" s="15">
        <v>2000000</v>
      </c>
      <c r="D17" s="111">
        <v>1100000</v>
      </c>
      <c r="E17" s="100">
        <v>1100000</v>
      </c>
      <c r="F17" s="100"/>
      <c r="G17" s="103" t="s">
        <v>123</v>
      </c>
      <c r="H17" s="52">
        <v>2200000</v>
      </c>
      <c r="I17" s="49" t="s">
        <v>120</v>
      </c>
      <c r="J17" s="49" t="s">
        <v>125</v>
      </c>
      <c r="K17" s="139" t="s">
        <v>134</v>
      </c>
      <c r="L17" s="101">
        <v>46190</v>
      </c>
    </row>
    <row r="18" spans="1:12" ht="22.5">
      <c r="A18" s="92">
        <v>17</v>
      </c>
      <c r="B18" s="104" t="s">
        <v>103</v>
      </c>
      <c r="C18" s="15">
        <v>4200000</v>
      </c>
      <c r="D18" s="105">
        <v>3200000</v>
      </c>
      <c r="E18" s="100">
        <v>1200000</v>
      </c>
      <c r="F18" s="15"/>
      <c r="G18" s="106" t="s">
        <v>28</v>
      </c>
      <c r="H18" s="52">
        <v>4200000</v>
      </c>
      <c r="I18" s="49" t="s">
        <v>126</v>
      </c>
      <c r="J18" s="49" t="s">
        <v>125</v>
      </c>
      <c r="K18" s="139" t="s">
        <v>134</v>
      </c>
      <c r="L18" s="101">
        <v>46192</v>
      </c>
    </row>
    <row r="19" spans="1:12" ht="22.5">
      <c r="A19" s="92">
        <v>18</v>
      </c>
      <c r="B19" s="33" t="s">
        <v>21</v>
      </c>
      <c r="C19" s="15">
        <v>4500000</v>
      </c>
      <c r="D19" s="124">
        <v>3500000</v>
      </c>
      <c r="E19" s="100">
        <v>1200000</v>
      </c>
      <c r="F19" s="15"/>
      <c r="G19" s="106" t="s">
        <v>28</v>
      </c>
      <c r="H19" s="52">
        <v>2700000</v>
      </c>
      <c r="I19" s="49" t="s">
        <v>118</v>
      </c>
      <c r="J19" s="49" t="s">
        <v>125</v>
      </c>
      <c r="K19" s="139" t="s">
        <v>134</v>
      </c>
      <c r="L19" s="101">
        <v>46192</v>
      </c>
    </row>
    <row r="20" spans="1:12" ht="22.5">
      <c r="A20" s="92">
        <v>19</v>
      </c>
      <c r="B20" s="33" t="s">
        <v>35</v>
      </c>
      <c r="C20" s="15">
        <v>5500000</v>
      </c>
      <c r="D20" s="124">
        <v>4300000</v>
      </c>
      <c r="E20" s="100">
        <v>1200000</v>
      </c>
      <c r="F20" s="15"/>
      <c r="G20" s="106" t="s">
        <v>117</v>
      </c>
      <c r="H20" s="52"/>
      <c r="I20" s="49" t="s">
        <v>120</v>
      </c>
      <c r="J20" s="49"/>
      <c r="K20" s="53" t="s">
        <v>121</v>
      </c>
      <c r="L20" s="101">
        <v>46192</v>
      </c>
    </row>
    <row r="21" spans="1:12" ht="22.5">
      <c r="A21" s="92">
        <v>20</v>
      </c>
      <c r="B21" s="126" t="s">
        <v>86</v>
      </c>
      <c r="C21" s="15">
        <v>1790000</v>
      </c>
      <c r="D21" s="106">
        <v>1320000</v>
      </c>
      <c r="E21" s="100">
        <v>680000</v>
      </c>
      <c r="F21" s="100"/>
      <c r="G21" s="103" t="s">
        <v>123</v>
      </c>
      <c r="H21" s="52">
        <v>2000000</v>
      </c>
      <c r="I21" s="49" t="s">
        <v>120</v>
      </c>
      <c r="J21" s="49" t="s">
        <v>125</v>
      </c>
      <c r="K21" s="53" t="s">
        <v>121</v>
      </c>
      <c r="L21" s="101">
        <v>46192</v>
      </c>
    </row>
    <row r="22" spans="1:12" ht="22.5">
      <c r="A22" s="92">
        <v>21</v>
      </c>
      <c r="B22" s="104" t="s">
        <v>115</v>
      </c>
      <c r="C22" s="15">
        <v>1300000</v>
      </c>
      <c r="D22" s="125">
        <v>500000</v>
      </c>
      <c r="E22" s="100"/>
      <c r="F22" s="100">
        <v>1440000</v>
      </c>
      <c r="G22" s="108" t="s">
        <v>82</v>
      </c>
      <c r="H22" s="52"/>
      <c r="I22" s="49" t="s">
        <v>118</v>
      </c>
      <c r="J22" s="49"/>
      <c r="K22" s="139" t="s">
        <v>134</v>
      </c>
      <c r="L22" s="101">
        <v>46193</v>
      </c>
    </row>
    <row r="23" spans="1:12" ht="22.5">
      <c r="A23" s="92">
        <v>22</v>
      </c>
      <c r="B23" s="33" t="s">
        <v>9</v>
      </c>
      <c r="C23" s="15">
        <v>3600000</v>
      </c>
      <c r="D23" s="124">
        <v>2600000</v>
      </c>
      <c r="E23" s="100">
        <v>1000000</v>
      </c>
      <c r="F23" s="15"/>
      <c r="G23" s="106" t="s">
        <v>117</v>
      </c>
      <c r="H23" s="52"/>
      <c r="I23" s="49" t="s">
        <v>118</v>
      </c>
      <c r="J23" s="49"/>
      <c r="K23" s="102" t="s">
        <v>122</v>
      </c>
      <c r="L23" s="101">
        <v>46193</v>
      </c>
    </row>
    <row r="24" spans="1:12" ht="22.5">
      <c r="A24" s="92">
        <v>23</v>
      </c>
      <c r="B24" s="14" t="s">
        <v>12</v>
      </c>
      <c r="C24" s="15">
        <v>1200000</v>
      </c>
      <c r="D24" s="110">
        <v>850000</v>
      </c>
      <c r="E24" s="100">
        <v>800000</v>
      </c>
      <c r="F24" s="100"/>
      <c r="G24" s="106" t="s">
        <v>117</v>
      </c>
      <c r="H24" s="52"/>
      <c r="I24" s="49" t="s">
        <v>120</v>
      </c>
      <c r="J24" s="49"/>
      <c r="K24" s="53" t="s">
        <v>121</v>
      </c>
      <c r="L24" s="101">
        <v>46193</v>
      </c>
    </row>
    <row r="25" spans="1:12" ht="22.5">
      <c r="A25" s="92">
        <v>24</v>
      </c>
      <c r="B25" s="40" t="s">
        <v>75</v>
      </c>
      <c r="C25" s="47">
        <v>3800000</v>
      </c>
      <c r="D25" s="124">
        <v>2600000</v>
      </c>
      <c r="E25" s="100"/>
      <c r="F25" s="100">
        <v>2640000</v>
      </c>
      <c r="G25" s="108" t="s">
        <v>82</v>
      </c>
      <c r="H25" s="52"/>
      <c r="I25" s="49" t="s">
        <v>118</v>
      </c>
      <c r="J25" s="49"/>
      <c r="K25" s="139" t="s">
        <v>134</v>
      </c>
      <c r="L25" s="101">
        <v>46195</v>
      </c>
    </row>
    <row r="26" spans="1:12" ht="22.5">
      <c r="A26" s="98">
        <v>25</v>
      </c>
      <c r="B26" s="104" t="s">
        <v>76</v>
      </c>
      <c r="C26" s="15">
        <v>2200000</v>
      </c>
      <c r="D26" s="111">
        <v>1200000</v>
      </c>
      <c r="E26" s="100"/>
      <c r="F26" s="100">
        <v>2400000</v>
      </c>
      <c r="G26" s="108" t="s">
        <v>82</v>
      </c>
      <c r="H26" s="52"/>
      <c r="I26" s="49" t="s">
        <v>118</v>
      </c>
      <c r="J26" s="49"/>
      <c r="K26" s="139" t="s">
        <v>134</v>
      </c>
      <c r="L26" s="101">
        <v>46195</v>
      </c>
    </row>
    <row r="27" spans="1:12" ht="22.5">
      <c r="A27" s="98">
        <v>26</v>
      </c>
      <c r="B27" s="104" t="s">
        <v>106</v>
      </c>
      <c r="C27" s="15">
        <v>2000000</v>
      </c>
      <c r="D27" s="105">
        <v>1100000</v>
      </c>
      <c r="E27" s="100"/>
      <c r="F27" s="100">
        <v>2396000</v>
      </c>
      <c r="G27" s="108" t="s">
        <v>82</v>
      </c>
      <c r="H27" s="52"/>
      <c r="I27" s="49" t="s">
        <v>126</v>
      </c>
      <c r="J27" s="49"/>
      <c r="K27" s="102" t="s">
        <v>122</v>
      </c>
      <c r="L27" s="101">
        <v>46197</v>
      </c>
    </row>
    <row r="28" spans="1:12" ht="22.5">
      <c r="A28" s="98">
        <v>27</v>
      </c>
      <c r="B28" s="104" t="s">
        <v>145</v>
      </c>
      <c r="C28" s="15">
        <v>3300000</v>
      </c>
      <c r="D28" s="109">
        <v>2500000</v>
      </c>
      <c r="E28" s="100">
        <v>1300000</v>
      </c>
      <c r="F28" s="15"/>
      <c r="G28" s="103" t="s">
        <v>123</v>
      </c>
      <c r="H28" s="52">
        <v>3500000</v>
      </c>
      <c r="I28" s="49" t="s">
        <v>118</v>
      </c>
      <c r="J28" s="49" t="s">
        <v>125</v>
      </c>
      <c r="K28" s="139" t="s">
        <v>134</v>
      </c>
      <c r="L28" s="101">
        <v>46197</v>
      </c>
    </row>
    <row r="29" spans="1:12" ht="22.5">
      <c r="A29" s="98">
        <v>28</v>
      </c>
      <c r="B29" s="135" t="s">
        <v>93</v>
      </c>
      <c r="C29" s="15">
        <v>2250000</v>
      </c>
      <c r="D29" s="136">
        <v>1690000</v>
      </c>
      <c r="E29" s="100">
        <v>760000</v>
      </c>
      <c r="F29" s="100"/>
      <c r="G29" s="103" t="s">
        <v>123</v>
      </c>
      <c r="H29" s="52">
        <v>2450000</v>
      </c>
      <c r="I29" s="49" t="s">
        <v>126</v>
      </c>
      <c r="J29" s="49" t="s">
        <v>125</v>
      </c>
      <c r="K29" s="139" t="s">
        <v>134</v>
      </c>
      <c r="L29" s="101">
        <v>46198</v>
      </c>
    </row>
    <row r="30" spans="1:12" ht="22.5">
      <c r="A30" s="98">
        <v>29</v>
      </c>
      <c r="B30" s="40" t="s">
        <v>27</v>
      </c>
      <c r="C30" s="47">
        <v>2400000</v>
      </c>
      <c r="D30" s="124">
        <v>1400000</v>
      </c>
      <c r="E30" s="100"/>
      <c r="F30" s="100">
        <v>2396000</v>
      </c>
      <c r="G30" s="108" t="s">
        <v>82</v>
      </c>
      <c r="H30" s="52"/>
      <c r="I30" s="49" t="s">
        <v>120</v>
      </c>
      <c r="J30" s="49"/>
      <c r="K30" s="139" t="s">
        <v>134</v>
      </c>
      <c r="L30" s="101">
        <v>46198</v>
      </c>
    </row>
    <row r="31" spans="1:12" ht="22.5">
      <c r="A31" s="98">
        <v>30</v>
      </c>
      <c r="B31" s="104" t="s">
        <v>55</v>
      </c>
      <c r="C31" s="15">
        <v>2000000</v>
      </c>
      <c r="D31" s="166">
        <v>1400000</v>
      </c>
      <c r="E31" s="100"/>
      <c r="F31" s="100">
        <v>1400000</v>
      </c>
      <c r="G31" s="108" t="s">
        <v>82</v>
      </c>
      <c r="H31" s="52"/>
      <c r="I31" s="49" t="s">
        <v>118</v>
      </c>
      <c r="J31" s="49"/>
      <c r="K31" s="139" t="s">
        <v>134</v>
      </c>
      <c r="L31" s="101">
        <v>46199</v>
      </c>
    </row>
    <row r="32" spans="1:12" ht="22.5">
      <c r="A32" s="98">
        <v>31</v>
      </c>
      <c r="B32" s="104" t="s">
        <v>140</v>
      </c>
      <c r="C32" s="15">
        <v>1600000</v>
      </c>
      <c r="D32" s="105">
        <v>800000</v>
      </c>
      <c r="E32" s="100"/>
      <c r="F32" s="100">
        <v>2296000</v>
      </c>
      <c r="G32" s="108" t="s">
        <v>82</v>
      </c>
      <c r="H32" s="52"/>
      <c r="I32" s="49" t="s">
        <v>118</v>
      </c>
      <c r="J32" s="49"/>
      <c r="K32" s="139" t="s">
        <v>134</v>
      </c>
      <c r="L32" s="101">
        <v>46200</v>
      </c>
    </row>
    <row r="33" spans="1:12" ht="22.5">
      <c r="A33" s="98">
        <v>32</v>
      </c>
      <c r="B33" s="104" t="s">
        <v>147</v>
      </c>
      <c r="C33" s="15">
        <v>1400000</v>
      </c>
      <c r="D33" s="109">
        <v>500000</v>
      </c>
      <c r="E33" s="100"/>
      <c r="F33" s="100">
        <v>15400000</v>
      </c>
      <c r="G33" s="108" t="s">
        <v>82</v>
      </c>
      <c r="H33" s="52"/>
      <c r="I33" s="49" t="s">
        <v>120</v>
      </c>
      <c r="J33" s="49"/>
      <c r="K33" s="102" t="s">
        <v>122</v>
      </c>
      <c r="L33" s="101">
        <v>46202</v>
      </c>
    </row>
    <row r="34" spans="1:12" ht="22.5">
      <c r="A34" s="98">
        <v>33</v>
      </c>
      <c r="B34" s="104" t="s">
        <v>182</v>
      </c>
      <c r="C34" s="15">
        <v>2000000</v>
      </c>
      <c r="D34" s="166">
        <v>1200000</v>
      </c>
      <c r="E34" s="100"/>
      <c r="F34" s="100">
        <v>1800000</v>
      </c>
      <c r="G34" s="108" t="s">
        <v>82</v>
      </c>
      <c r="H34" s="52"/>
      <c r="I34" s="49" t="s">
        <v>118</v>
      </c>
      <c r="J34" s="49"/>
      <c r="K34" s="139" t="s">
        <v>134</v>
      </c>
      <c r="L34" s="101">
        <v>46202</v>
      </c>
    </row>
    <row r="35" spans="1:12" ht="22.5">
      <c r="A35" s="98">
        <v>34</v>
      </c>
      <c r="B35" s="33" t="s">
        <v>131</v>
      </c>
      <c r="C35" s="15">
        <v>4900000</v>
      </c>
      <c r="D35" s="137">
        <v>3500000</v>
      </c>
      <c r="E35" s="100">
        <v>1600000</v>
      </c>
      <c r="F35" s="15"/>
      <c r="G35" s="106" t="s">
        <v>28</v>
      </c>
      <c r="H35" s="52">
        <v>5100000</v>
      </c>
      <c r="I35" s="49" t="s">
        <v>126</v>
      </c>
      <c r="J35" s="49" t="s">
        <v>125</v>
      </c>
      <c r="K35" s="139" t="s">
        <v>134</v>
      </c>
      <c r="L35" s="101">
        <v>46202</v>
      </c>
    </row>
    <row r="36" spans="1:12" ht="22.5">
      <c r="A36" s="98">
        <v>35</v>
      </c>
      <c r="B36" s="33" t="s">
        <v>41</v>
      </c>
      <c r="C36" s="15">
        <v>4200000</v>
      </c>
      <c r="D36" s="124">
        <v>3400000</v>
      </c>
      <c r="E36" s="100">
        <v>1000000</v>
      </c>
      <c r="F36" s="15"/>
      <c r="G36" s="106" t="s">
        <v>28</v>
      </c>
      <c r="H36" s="52">
        <v>4400000</v>
      </c>
      <c r="I36" s="49" t="s">
        <v>118</v>
      </c>
      <c r="J36" s="49" t="s">
        <v>125</v>
      </c>
      <c r="K36" s="139" t="s">
        <v>134</v>
      </c>
      <c r="L36" s="101">
        <v>46202</v>
      </c>
    </row>
    <row r="37" spans="1:12" ht="22.5">
      <c r="A37" s="98">
        <v>36</v>
      </c>
      <c r="B37" s="104" t="s">
        <v>183</v>
      </c>
      <c r="C37" s="15">
        <v>1600000</v>
      </c>
      <c r="D37" s="105">
        <v>1050000</v>
      </c>
      <c r="E37" s="100">
        <v>300000</v>
      </c>
      <c r="F37" s="15"/>
      <c r="G37" s="103" t="s">
        <v>123</v>
      </c>
      <c r="H37" s="52">
        <v>1850000</v>
      </c>
      <c r="I37" s="49" t="s">
        <v>126</v>
      </c>
      <c r="J37" s="49"/>
      <c r="K37" s="139" t="s">
        <v>134</v>
      </c>
      <c r="L37" s="101">
        <v>46202</v>
      </c>
    </row>
    <row r="38" spans="1:12" ht="22.5">
      <c r="A38" s="98">
        <v>37</v>
      </c>
      <c r="B38" s="104" t="s">
        <v>77</v>
      </c>
      <c r="C38" s="15">
        <v>2000000</v>
      </c>
      <c r="D38" s="166">
        <v>1300000</v>
      </c>
      <c r="E38" s="100"/>
      <c r="F38" s="100">
        <v>2196000</v>
      </c>
      <c r="G38" s="108" t="s">
        <v>82</v>
      </c>
      <c r="H38" s="52"/>
      <c r="I38" s="49" t="s">
        <v>118</v>
      </c>
      <c r="J38" s="49"/>
      <c r="K38" s="139" t="s">
        <v>134</v>
      </c>
      <c r="L38" s="101">
        <v>46202</v>
      </c>
    </row>
    <row r="39" spans="1:12" ht="22.5">
      <c r="A39" s="98">
        <v>38</v>
      </c>
      <c r="B39" s="104"/>
      <c r="C39" s="15"/>
      <c r="D39" s="105"/>
      <c r="E39" s="100"/>
      <c r="F39" s="15"/>
      <c r="G39" s="106"/>
      <c r="H39" s="52"/>
      <c r="I39" s="49"/>
      <c r="J39" s="49"/>
      <c r="K39" s="102"/>
      <c r="L39" s="101"/>
    </row>
    <row r="40" spans="1:12" ht="22.5">
      <c r="A40" s="98">
        <v>39</v>
      </c>
      <c r="B40" s="104"/>
      <c r="C40" s="15"/>
      <c r="D40" s="105"/>
      <c r="E40" s="100"/>
      <c r="F40" s="15"/>
      <c r="G40" s="106"/>
      <c r="H40" s="52"/>
      <c r="I40" s="49"/>
      <c r="J40" s="49"/>
      <c r="K40" s="102"/>
      <c r="L40" s="101"/>
    </row>
    <row r="41" spans="1:12" ht="22.5">
      <c r="A41" s="98">
        <v>40</v>
      </c>
      <c r="B41" s="104"/>
      <c r="C41" s="15"/>
      <c r="D41" s="105"/>
      <c r="E41" s="100"/>
      <c r="F41" s="15"/>
      <c r="G41" s="106"/>
      <c r="H41" s="52"/>
      <c r="I41" s="49"/>
      <c r="J41" s="49"/>
      <c r="K41" s="102"/>
      <c r="L41" s="101"/>
    </row>
    <row r="42" spans="1:12" ht="22.5">
      <c r="A42" s="98">
        <v>41</v>
      </c>
      <c r="B42" s="104"/>
      <c r="C42" s="15"/>
      <c r="D42" s="105"/>
      <c r="E42" s="100"/>
      <c r="F42" s="15"/>
      <c r="G42" s="106"/>
      <c r="H42" s="52"/>
      <c r="I42" s="49"/>
      <c r="J42" s="49"/>
      <c r="K42" s="102"/>
      <c r="L42" s="101"/>
    </row>
    <row r="43" spans="1:12" ht="22.5">
      <c r="A43" s="98">
        <v>42</v>
      </c>
      <c r="B43" s="104"/>
      <c r="C43" s="15"/>
      <c r="D43" s="105"/>
      <c r="E43" s="100"/>
      <c r="F43" s="15"/>
      <c r="G43" s="106"/>
      <c r="H43" s="52"/>
      <c r="I43" s="49"/>
      <c r="J43" s="49"/>
      <c r="K43" s="102"/>
      <c r="L43" s="101"/>
    </row>
    <row r="44" spans="1:12" ht="22.5">
      <c r="A44" s="98">
        <v>43</v>
      </c>
      <c r="B44" s="104"/>
      <c r="C44" s="15"/>
      <c r="D44" s="105"/>
      <c r="E44" s="100"/>
      <c r="F44" s="15"/>
      <c r="G44" s="106"/>
      <c r="H44" s="52"/>
      <c r="I44" s="49"/>
      <c r="J44" s="49"/>
      <c r="K44" s="102"/>
      <c r="L44" s="101"/>
    </row>
    <row r="45" spans="1:12" ht="22.5">
      <c r="A45" s="98">
        <v>44</v>
      </c>
      <c r="B45" s="104"/>
      <c r="C45" s="15"/>
      <c r="D45" s="105"/>
      <c r="E45" s="100"/>
      <c r="F45" s="15"/>
      <c r="G45" s="106"/>
      <c r="H45" s="52"/>
      <c r="I45" s="49"/>
      <c r="J45" s="49"/>
      <c r="K45" s="102"/>
      <c r="L45" s="101"/>
    </row>
    <row r="46" spans="1:12" ht="22.5">
      <c r="A46" s="98">
        <v>45</v>
      </c>
      <c r="B46" s="104"/>
      <c r="C46" s="15"/>
      <c r="D46" s="105"/>
      <c r="E46" s="100"/>
      <c r="F46" s="15"/>
      <c r="G46" s="106"/>
      <c r="H46" s="52"/>
      <c r="I46" s="49"/>
      <c r="J46" s="49"/>
      <c r="K46" s="102"/>
      <c r="L46" s="101"/>
    </row>
    <row r="47" spans="1:12" ht="22.5">
      <c r="A47" s="98">
        <v>46</v>
      </c>
      <c r="B47" s="14"/>
      <c r="C47" s="15"/>
      <c r="D47" s="15"/>
      <c r="E47" s="15"/>
      <c r="F47" s="15"/>
      <c r="G47" s="30"/>
      <c r="H47" s="52"/>
      <c r="I47" s="49"/>
      <c r="J47" s="49"/>
      <c r="K47" s="53"/>
      <c r="L47" s="53"/>
    </row>
    <row r="48" spans="1:12" ht="18.75">
      <c r="A48" s="98">
        <v>47</v>
      </c>
      <c r="B48" s="59"/>
      <c r="C48" s="22"/>
      <c r="D48" s="23">
        <f>SUM(D2:D47)</f>
        <v>70010000</v>
      </c>
      <c r="E48" s="23">
        <f>SUM(E2:E47)</f>
        <v>22820000</v>
      </c>
      <c r="F48" s="23">
        <f>SUM(F2:F47)</f>
        <v>44062000</v>
      </c>
      <c r="G48" s="44"/>
      <c r="H48" s="52">
        <f>SUM(H2:H47)</f>
        <v>53780000</v>
      </c>
      <c r="I48" s="49"/>
      <c r="K48" s="49"/>
      <c r="L4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Hoja3</vt:lpstr>
      <vt:lpstr>Hoja4</vt:lpstr>
      <vt:lpstr>Hoja5</vt:lpstr>
      <vt:lpstr>Hoja2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Ryr Computacion</dc:creator>
  <cp:lastModifiedBy>Ryr Computacion</cp:lastModifiedBy>
  <cp:lastPrinted>2026-06-26T14:56:18Z</cp:lastPrinted>
  <dcterms:created xsi:type="dcterms:W3CDTF">2025-05-14T15:20:28Z</dcterms:created>
  <dcterms:modified xsi:type="dcterms:W3CDTF">2026-07-21T12:51:57Z</dcterms:modified>
</cp:coreProperties>
</file>